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cha\OneDrive\Desktop\uni\navarra\term 1\applied business tools\"/>
    </mc:Choice>
  </mc:AlternateContent>
  <xr:revisionPtr revIDLastSave="0" documentId="13_ncr:1_{33CD143C-0CBB-44D2-A918-44708D663C4F}" xr6:coauthVersionLast="47" xr6:coauthVersionMax="47" xr10:uidLastSave="{00000000-0000-0000-0000-000000000000}"/>
  <bookViews>
    <workbookView xWindow="2895" yWindow="2895" windowWidth="21600" windowHeight="11295" xr2:uid="{00000000-000D-0000-FFFF-FFFF00000000}"/>
  </bookViews>
  <sheets>
    <sheet name="VertiPinturas Data Formats" sheetId="1" r:id="rId1"/>
    <sheet name="Vertipinturas oper &amp; ref" sheetId="2" r:id="rId2"/>
    <sheet name="VertiPinturas_formats" sheetId="3" r:id="rId3"/>
  </sheets>
  <externalReferences>
    <externalReference r:id="rId4"/>
  </externalReferences>
  <definedNames>
    <definedName name="_xlnm._FilterDatabase" localSheetId="2" hidden="1">VertiPinturas_formats!$A$1:$I$50</definedName>
    <definedName name="CARGO">[1]Auxiliar!$B$2:$B$5</definedName>
    <definedName name="SEXO">[1]Auxiliar!$A$2:$A$3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qWvLoPRkZFPsEoRBw+yX7zffLLe0gXiyUce0MsU/hR8=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B11" i="1"/>
  <c r="C11" i="1"/>
  <c r="D11" i="1"/>
  <c r="E11" i="1"/>
  <c r="F11" i="1"/>
  <c r="G11" i="1"/>
  <c r="N5" i="2"/>
  <c r="N6" i="2"/>
  <c r="N7" i="2"/>
  <c r="N8" i="2"/>
  <c r="N9" i="2"/>
  <c r="L10" i="2"/>
  <c r="M5" i="2"/>
  <c r="M6" i="2"/>
  <c r="M7" i="2"/>
  <c r="M8" i="2"/>
  <c r="M9" i="2"/>
  <c r="L5" i="2"/>
  <c r="L6" i="2"/>
  <c r="L7" i="2"/>
  <c r="L8" i="2"/>
  <c r="L9" i="2"/>
  <c r="K5" i="2"/>
  <c r="K6" i="2"/>
  <c r="K7" i="2"/>
  <c r="K8" i="2"/>
  <c r="K9" i="2"/>
  <c r="K4" i="2"/>
  <c r="H36" i="2"/>
  <c r="H37" i="2"/>
  <c r="G36" i="2"/>
  <c r="G37" i="2"/>
  <c r="F36" i="2"/>
  <c r="F37" i="2"/>
  <c r="E36" i="2"/>
  <c r="E37" i="2"/>
  <c r="D36" i="2"/>
  <c r="D37" i="2"/>
  <c r="C36" i="2"/>
  <c r="C37" i="2"/>
  <c r="C34" i="2"/>
  <c r="B36" i="2"/>
  <c r="B37" i="2"/>
  <c r="B35" i="2"/>
  <c r="G29" i="2"/>
  <c r="G28" i="2"/>
  <c r="G27" i="2"/>
  <c r="G26" i="2"/>
  <c r="G25" i="2"/>
  <c r="G24" i="2"/>
  <c r="G16" i="2"/>
  <c r="H4" i="2"/>
  <c r="E33" i="2"/>
  <c r="E34" i="2"/>
  <c r="E35" i="2"/>
  <c r="E32" i="2"/>
  <c r="B33" i="2"/>
  <c r="B34" i="2"/>
  <c r="B32" i="2"/>
  <c r="F29" i="2" l="1"/>
  <c r="F28" i="2"/>
  <c r="F27" i="2"/>
  <c r="F26" i="2"/>
  <c r="F25" i="2"/>
  <c r="F24" i="2"/>
  <c r="E29" i="2"/>
  <c r="E28" i="2"/>
  <c r="E27" i="2"/>
  <c r="E26" i="2"/>
  <c r="E25" i="2"/>
  <c r="E24" i="2"/>
  <c r="D29" i="2"/>
  <c r="B24" i="2"/>
  <c r="C24" i="2"/>
  <c r="D24" i="2"/>
  <c r="D28" i="2"/>
  <c r="D27" i="2"/>
  <c r="D26" i="2"/>
  <c r="D25" i="2"/>
  <c r="B29" i="2"/>
  <c r="B28" i="2"/>
  <c r="B27" i="2"/>
  <c r="D35" i="2" s="1"/>
  <c r="B26" i="2"/>
  <c r="D34" i="2" s="1"/>
  <c r="B25" i="2"/>
  <c r="C29" i="2"/>
  <c r="C28" i="2"/>
  <c r="C27" i="2"/>
  <c r="C26" i="2"/>
  <c r="C25" i="2"/>
  <c r="K10" i="2"/>
  <c r="D32" i="2" l="1"/>
  <c r="D33" i="2"/>
  <c r="B4" i="2" l="1"/>
  <c r="C22" i="1"/>
  <c r="D22" i="1"/>
  <c r="E22" i="1"/>
  <c r="F22" i="1"/>
  <c r="G22" i="1"/>
  <c r="B22" i="1"/>
  <c r="E16" i="2" l="1"/>
  <c r="E6" i="2"/>
  <c r="E5" i="2"/>
  <c r="E7" i="2"/>
  <c r="E8" i="2"/>
  <c r="E9" i="2"/>
  <c r="E4" i="2"/>
  <c r="E10" i="2" s="1"/>
  <c r="D8" i="2"/>
  <c r="D16" i="2"/>
  <c r="D9" i="2"/>
  <c r="D4" i="2"/>
  <c r="D5" i="2"/>
  <c r="D6" i="2"/>
  <c r="D7" i="2"/>
  <c r="D13" i="2"/>
  <c r="B5" i="2"/>
  <c r="H5" i="2" s="1"/>
  <c r="B6" i="2"/>
  <c r="B7" i="2"/>
  <c r="B16" i="2"/>
  <c r="B8" i="2"/>
  <c r="B9" i="2"/>
  <c r="C4" i="2"/>
  <c r="C16" i="2"/>
  <c r="C8" i="2"/>
  <c r="C9" i="2"/>
  <c r="C5" i="2"/>
  <c r="C6" i="2"/>
  <c r="C7" i="2"/>
  <c r="G4" i="2"/>
  <c r="G5" i="2"/>
  <c r="G6" i="2"/>
  <c r="G7" i="2"/>
  <c r="G8" i="2"/>
  <c r="G9" i="2"/>
  <c r="F4" i="2"/>
  <c r="F16" i="2"/>
  <c r="F5" i="2"/>
  <c r="F7" i="2"/>
  <c r="F6" i="2"/>
  <c r="F8" i="2"/>
  <c r="F9" i="2"/>
  <c r="F17" i="2" l="1"/>
  <c r="F18" i="2" s="1"/>
  <c r="G17" i="2"/>
  <c r="G18" i="2" s="1"/>
  <c r="E17" i="2"/>
  <c r="E18" i="2" s="1"/>
  <c r="E20" i="2" s="1"/>
  <c r="C32" i="2"/>
  <c r="F32" i="2" s="1"/>
  <c r="I4" i="2"/>
  <c r="G32" i="2" s="1"/>
  <c r="D17" i="2"/>
  <c r="D18" i="2" s="1"/>
  <c r="D19" i="2" s="1"/>
  <c r="B10" i="2"/>
  <c r="H9" i="2"/>
  <c r="H8" i="2"/>
  <c r="C33" i="2"/>
  <c r="F33" i="2" s="1"/>
  <c r="I5" i="2"/>
  <c r="G33" i="2" s="1"/>
  <c r="B17" i="2"/>
  <c r="B18" i="2" s="1"/>
  <c r="B20" i="2" s="1"/>
  <c r="C10" i="2"/>
  <c r="G10" i="2"/>
  <c r="C17" i="2"/>
  <c r="C18" i="2" s="1"/>
  <c r="C20" i="2" s="1"/>
  <c r="D10" i="2"/>
  <c r="F10" i="2"/>
  <c r="H7" i="2"/>
  <c r="H6" i="2"/>
  <c r="H10" i="2" s="1"/>
  <c r="F19" i="2"/>
  <c r="F20" i="2"/>
  <c r="E19" i="2"/>
  <c r="B19" i="2"/>
  <c r="G19" i="2" l="1"/>
  <c r="G20" i="2"/>
  <c r="D20" i="2"/>
  <c r="H20" i="2" s="1"/>
  <c r="J4" i="2"/>
  <c r="L4" i="2" s="1"/>
  <c r="N4" i="2" s="1"/>
  <c r="I8" i="2"/>
  <c r="J8" i="2"/>
  <c r="I9" i="2"/>
  <c r="J9" i="2"/>
  <c r="C19" i="2"/>
  <c r="F34" i="2"/>
  <c r="I6" i="2"/>
  <c r="G34" i="2" s="1"/>
  <c r="J6" i="2"/>
  <c r="J5" i="2"/>
  <c r="C35" i="2"/>
  <c r="F35" i="2" s="1"/>
  <c r="H35" i="2" s="1"/>
  <c r="I7" i="2"/>
  <c r="G35" i="2" s="1"/>
  <c r="M4" i="2"/>
  <c r="M10" i="2" s="1"/>
  <c r="H33" i="2"/>
  <c r="H32" i="2"/>
  <c r="H34" i="2" l="1"/>
  <c r="J7" i="2"/>
  <c r="J10" i="2" s="1"/>
  <c r="I10" i="2"/>
</calcChain>
</file>

<file path=xl/sharedStrings.xml><?xml version="1.0" encoding="utf-8"?>
<sst xmlns="http://schemas.openxmlformats.org/spreadsheetml/2006/main" count="327" uniqueCount="171">
  <si>
    <t>DATA Vertipinturas</t>
  </si>
  <si>
    <t>Sales per week to stores (liters of paint)</t>
  </si>
  <si>
    <t>Color122</t>
  </si>
  <si>
    <t>Color 202</t>
  </si>
  <si>
    <t>Color323</t>
  </si>
  <si>
    <t>Color678</t>
  </si>
  <si>
    <t>Color856</t>
  </si>
  <si>
    <t>Color900</t>
  </si>
  <si>
    <t>TOTAL</t>
  </si>
  <si>
    <t>Store 1</t>
  </si>
  <si>
    <t>Store 2</t>
  </si>
  <si>
    <t>Store 3</t>
  </si>
  <si>
    <t>Store 4</t>
  </si>
  <si>
    <t>Store 5</t>
  </si>
  <si>
    <t>Store 6</t>
  </si>
  <si>
    <t xml:space="preserve">Total </t>
  </si>
  <si>
    <t>Revenue Volume Discounts</t>
  </si>
  <si>
    <t>VERTIPAINTINGS´COSTS</t>
  </si>
  <si>
    <t>Up to</t>
  </si>
  <si>
    <t>Manufacturer distribution costs</t>
  </si>
  <si>
    <t>Between 701</t>
  </si>
  <si>
    <t>Product cost over total sales</t>
  </si>
  <si>
    <t xml:space="preserve">Más de </t>
  </si>
  <si>
    <t>Note: the discount is applied to the total income of each dealer</t>
  </si>
  <si>
    <t>Manufacturer's selling price, for paint types, per 5 liters.</t>
  </si>
  <si>
    <t>DATA per store</t>
  </si>
  <si>
    <t>variable costs for each store</t>
  </si>
  <si>
    <t>Tienda 1</t>
  </si>
  <si>
    <t>Tienda 2</t>
  </si>
  <si>
    <t>Tienda 3</t>
  </si>
  <si>
    <t>Tienda 4</t>
  </si>
  <si>
    <t>Tienda 5</t>
  </si>
  <si>
    <t>Tienda 6</t>
  </si>
  <si>
    <t>Fixed costs for each store</t>
  </si>
  <si>
    <t>wholesaler</t>
  </si>
  <si>
    <t>Sales in euros of the main company: VertiPinturas</t>
  </si>
  <si>
    <t>Company profit VERTIPINTURAS=</t>
  </si>
  <si>
    <t>Unit distribution cost (or each liter of paint)=</t>
  </si>
  <si>
    <t>Sale price</t>
  </si>
  <si>
    <t>Unit cost</t>
  </si>
  <si>
    <t>Unit profit</t>
  </si>
  <si>
    <t>Profitability</t>
  </si>
  <si>
    <t>Total profit per color</t>
  </si>
  <si>
    <t>RETAIL</t>
  </si>
  <si>
    <t>Variable costs</t>
  </si>
  <si>
    <t>Fixed costs</t>
  </si>
  <si>
    <t>Total income</t>
  </si>
  <si>
    <t>Total Purchase costs</t>
  </si>
  <si>
    <t>Fixed Costs</t>
  </si>
  <si>
    <t>Total Costs</t>
  </si>
  <si>
    <t>Discount</t>
  </si>
  <si>
    <t>Profit</t>
  </si>
  <si>
    <t>DNI</t>
  </si>
  <si>
    <t>NAME</t>
  </si>
  <si>
    <t>ADDRESS</t>
  </si>
  <si>
    <t>GENDER</t>
  </si>
  <si>
    <t>POSITION</t>
  </si>
  <si>
    <t>DATE OF BIRTH</t>
  </si>
  <si>
    <t>SALARY</t>
  </si>
  <si>
    <t>SENIORITY</t>
  </si>
  <si>
    <t>AGE</t>
  </si>
  <si>
    <t>NOMBRE 13</t>
  </si>
  <si>
    <t>DIRECCIÓN 13</t>
  </si>
  <si>
    <t>Mujer</t>
  </si>
  <si>
    <t>ADMINISTRATIVO/A</t>
  </si>
  <si>
    <t>NOMBRE 14</t>
  </si>
  <si>
    <t>DIRECCIÓN 14</t>
  </si>
  <si>
    <t>NOMBRE 20</t>
  </si>
  <si>
    <t>DIRECCIÓN 20</t>
  </si>
  <si>
    <t>NOMBRE 21</t>
  </si>
  <si>
    <t>DIRECCIÓN 21</t>
  </si>
  <si>
    <t>NOMBRE 22</t>
  </si>
  <si>
    <t>DIRECCIÓN 22</t>
  </si>
  <si>
    <t>Hombre</t>
  </si>
  <si>
    <t>NOMBRE 27</t>
  </si>
  <si>
    <t>DIRECCIÓN 27</t>
  </si>
  <si>
    <t>NOMBRE 37</t>
  </si>
  <si>
    <t>DIRECCIÓN 37</t>
  </si>
  <si>
    <t>NOMBRE 39</t>
  </si>
  <si>
    <t>DIRECCIÓN 39</t>
  </si>
  <si>
    <t>NOMBRE 4</t>
  </si>
  <si>
    <t>DIRECCIÓN 4</t>
  </si>
  <si>
    <t>NOMBRE 47</t>
  </si>
  <si>
    <t>DIRECCIÓN 47</t>
  </si>
  <si>
    <t>NOMBRE 5</t>
  </si>
  <si>
    <t>DIRECCIÓN 5</t>
  </si>
  <si>
    <t>NOMBRE 9</t>
  </si>
  <si>
    <t>DIRECCIÓN 9</t>
  </si>
  <si>
    <t>NOMBRE 18</t>
  </si>
  <si>
    <t>DIRECCIÓN 18</t>
  </si>
  <si>
    <t>COMERCIAL</t>
  </si>
  <si>
    <t>NOMBRE 31</t>
  </si>
  <si>
    <t>DIRECCIÓN 31</t>
  </si>
  <si>
    <t>NOMBRE 42</t>
  </si>
  <si>
    <t>DIRECCIÓN 42</t>
  </si>
  <si>
    <t>NOMBRE 6</t>
  </si>
  <si>
    <t>DIRECCIÓN 6</t>
  </si>
  <si>
    <t>NOMBRE 7</t>
  </si>
  <si>
    <t>DIRECCIÓN 7</t>
  </si>
  <si>
    <t>NOMBRE 1</t>
  </si>
  <si>
    <t>DIRECCIÓN 1</t>
  </si>
  <si>
    <t>DIRECTOR/A</t>
  </si>
  <si>
    <t>NOMBRE 10</t>
  </si>
  <si>
    <t>DIRECCIÓN 10</t>
  </si>
  <si>
    <t>NOMBRE 19</t>
  </si>
  <si>
    <t>DIRECCIÓN 19</t>
  </si>
  <si>
    <t>NOMBRE 26</t>
  </si>
  <si>
    <t>DIRECCIÓN 26</t>
  </si>
  <si>
    <t>NOMBRE 28</t>
  </si>
  <si>
    <t>DIRECCIÓN 28</t>
  </si>
  <si>
    <t>NOMBRE 38</t>
  </si>
  <si>
    <t>DIRECCIÓN 38</t>
  </si>
  <si>
    <t>NOMBRE 48</t>
  </si>
  <si>
    <t>DIRECCIÓN 48</t>
  </si>
  <si>
    <t>NOMBRE 11</t>
  </si>
  <si>
    <t>DIRECCIÓN 11</t>
  </si>
  <si>
    <t>TÉCNICO/A</t>
  </si>
  <si>
    <t>NOMBRE 12</t>
  </si>
  <si>
    <t>DIRECCIÓN 12</t>
  </si>
  <si>
    <t>NOMBRE 15</t>
  </si>
  <si>
    <t>DIRECCIÓN 15</t>
  </si>
  <si>
    <t>NOMBRE 16</t>
  </si>
  <si>
    <t>DIRECCIÓN 16</t>
  </si>
  <si>
    <t>NOMBRE 17</t>
  </si>
  <si>
    <t>DIRECCIÓN 17</t>
  </si>
  <si>
    <t>NOMBRE 2</t>
  </si>
  <si>
    <t>DIRECCIÓN 2</t>
  </si>
  <si>
    <t>NOMBRE 23</t>
  </si>
  <si>
    <t>DIRECCIÓN 23</t>
  </si>
  <si>
    <t>NOMBRE 24</t>
  </si>
  <si>
    <t>DIRECCIÓN 24</t>
  </si>
  <si>
    <t>NOMBRE 25</t>
  </si>
  <si>
    <t>DIRECCIÓN 25</t>
  </si>
  <si>
    <t>NOMBRE 29</t>
  </si>
  <si>
    <t>DIRECCIÓN 29</t>
  </si>
  <si>
    <t>NOMBRE 3</t>
  </si>
  <si>
    <t>DIRECCIÓN 3</t>
  </si>
  <si>
    <t>NOMBRE 30</t>
  </si>
  <si>
    <t>DIRECCIÓN 30</t>
  </si>
  <si>
    <t>NOMBRE 32</t>
  </si>
  <si>
    <t>DIRECCIÓN 32</t>
  </si>
  <si>
    <t>NOMBRE 33</t>
  </si>
  <si>
    <t>DIRECCIÓN 33</t>
  </si>
  <si>
    <t>NOMBRE 34</t>
  </si>
  <si>
    <t>DIRECCIÓN 34</t>
  </si>
  <si>
    <t>NOMBRE 35</t>
  </si>
  <si>
    <t>DIRECCIÓN 35</t>
  </si>
  <si>
    <t>NOMBRE 36</t>
  </si>
  <si>
    <t>DIRECCIÓN 36</t>
  </si>
  <si>
    <t>NOMBRE 40</t>
  </si>
  <si>
    <t>DIRECCIÓN 40</t>
  </si>
  <si>
    <t>NOMBRE 41</t>
  </si>
  <si>
    <t>DIRECCIÓN 41</t>
  </si>
  <si>
    <t>NOMBRE 43</t>
  </si>
  <si>
    <t>DIRECCIÓN 43</t>
  </si>
  <si>
    <t>NOMBRE 44</t>
  </si>
  <si>
    <t>DIRECCIÓN 44</t>
  </si>
  <si>
    <t>NOMBRE 45</t>
  </si>
  <si>
    <t>DIRECCIÓN 45</t>
  </si>
  <si>
    <t>NOMBRE 46</t>
  </si>
  <si>
    <t>DIRECCIÓN 46</t>
  </si>
  <si>
    <t>NOMBRE 49</t>
  </si>
  <si>
    <t>DIRECCIÓN 49</t>
  </si>
  <si>
    <t>NOMBRE 8</t>
  </si>
  <si>
    <t>DIRECCIÓN 8</t>
  </si>
  <si>
    <t>Retail price (per liter) at stores</t>
  </si>
  <si>
    <t>Income</t>
  </si>
  <si>
    <t>Final Income</t>
  </si>
  <si>
    <t>Sum percentage increase</t>
  </si>
  <si>
    <t>Absolute change</t>
  </si>
  <si>
    <t>Relative rate of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</si>
</sst>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&quot;€&quot;"/>
    <numFmt numFmtId="165" formatCode="#,##0.00\ &quot;€&quot;"/>
    <numFmt numFmtId="166" formatCode="d/m/yyyy"/>
    <numFmt numFmtId="167" formatCode="#,##0.0"/>
    <numFmt numFmtId="168" formatCode="0.0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B4C6E7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1" fontId="1" fillId="2" borderId="4" xfId="0" applyNumberFormat="1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3" fontId="1" fillId="2" borderId="4" xfId="0" applyNumberFormat="1" applyFont="1" applyFill="1" applyBorder="1" applyAlignment="1">
      <alignment horizontal="right"/>
    </xf>
    <xf numFmtId="0" fontId="1" fillId="2" borderId="10" xfId="0" applyFont="1" applyFill="1" applyBorder="1"/>
    <xf numFmtId="0" fontId="1" fillId="2" borderId="10" xfId="0" applyFont="1" applyFill="1" applyBorder="1" applyAlignment="1">
      <alignment horizontal="right"/>
    </xf>
    <xf numFmtId="0" fontId="1" fillId="0" borderId="14" xfId="0" applyFont="1" applyBorder="1"/>
    <xf numFmtId="3" fontId="1" fillId="2" borderId="17" xfId="0" applyNumberFormat="1" applyFont="1" applyFill="1" applyBorder="1" applyAlignment="1">
      <alignment horizontal="right"/>
    </xf>
    <xf numFmtId="3" fontId="1" fillId="2" borderId="4" xfId="0" applyNumberFormat="1" applyFont="1" applyFill="1" applyBorder="1"/>
    <xf numFmtId="0" fontId="4" fillId="0" borderId="0" xfId="0" applyFont="1"/>
    <xf numFmtId="0" fontId="1" fillId="3" borderId="17" xfId="0" applyFont="1" applyFill="1" applyBorder="1"/>
    <xf numFmtId="0" fontId="5" fillId="3" borderId="17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1" fillId="3" borderId="4" xfId="0" applyFont="1" applyFill="1" applyBorder="1"/>
    <xf numFmtId="164" fontId="1" fillId="3" borderId="4" xfId="0" applyNumberFormat="1" applyFont="1" applyFill="1" applyBorder="1"/>
    <xf numFmtId="165" fontId="1" fillId="3" borderId="4" xfId="0" applyNumberFormat="1" applyFont="1" applyFill="1" applyBorder="1"/>
    <xf numFmtId="164" fontId="1" fillId="3" borderId="4" xfId="0" applyNumberFormat="1" applyFont="1" applyFill="1" applyBorder="1" applyAlignment="1">
      <alignment horizontal="right"/>
    </xf>
    <xf numFmtId="0" fontId="5" fillId="3" borderId="4" xfId="0" applyFont="1" applyFill="1" applyBorder="1"/>
    <xf numFmtId="0" fontId="5" fillId="3" borderId="17" xfId="0" applyFont="1" applyFill="1" applyBorder="1"/>
    <xf numFmtId="164" fontId="1" fillId="3" borderId="17" xfId="0" applyNumberFormat="1" applyFont="1" applyFill="1" applyBorder="1"/>
    <xf numFmtId="3" fontId="1" fillId="3" borderId="4" xfId="0" applyNumberFormat="1" applyFont="1" applyFill="1" applyBorder="1"/>
    <xf numFmtId="10" fontId="1" fillId="3" borderId="4" xfId="0" applyNumberFormat="1" applyFont="1" applyFill="1" applyBorder="1"/>
    <xf numFmtId="0" fontId="1" fillId="0" borderId="21" xfId="0" applyFont="1" applyBorder="1"/>
    <xf numFmtId="0" fontId="6" fillId="3" borderId="23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/>
    </xf>
    <xf numFmtId="0" fontId="7" fillId="3" borderId="26" xfId="0" applyFont="1" applyFill="1" applyBorder="1" applyAlignment="1">
      <alignment horizontal="center"/>
    </xf>
    <xf numFmtId="3" fontId="1" fillId="3" borderId="28" xfId="0" applyNumberFormat="1" applyFont="1" applyFill="1" applyBorder="1"/>
    <xf numFmtId="0" fontId="5" fillId="2" borderId="4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166" fontId="1" fillId="0" borderId="0" xfId="0" applyNumberFormat="1" applyFont="1"/>
    <xf numFmtId="1" fontId="1" fillId="0" borderId="0" xfId="0" applyNumberFormat="1" applyFont="1"/>
    <xf numFmtId="0" fontId="11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vertical="center" wrapText="1"/>
    </xf>
    <xf numFmtId="164" fontId="9" fillId="0" borderId="6" xfId="0" applyNumberFormat="1" applyFont="1" applyBorder="1"/>
    <xf numFmtId="164" fontId="0" fillId="0" borderId="30" xfId="0" applyNumberFormat="1" applyBorder="1"/>
    <xf numFmtId="9" fontId="0" fillId="0" borderId="30" xfId="1" applyFont="1" applyBorder="1" applyAlignment="1"/>
    <xf numFmtId="164" fontId="8" fillId="0" borderId="30" xfId="0" applyNumberFormat="1" applyFont="1" applyBorder="1"/>
    <xf numFmtId="164" fontId="10" fillId="3" borderId="4" xfId="0" applyNumberFormat="1" applyFont="1" applyFill="1" applyBorder="1"/>
    <xf numFmtId="2" fontId="10" fillId="3" borderId="17" xfId="0" applyNumberFormat="1" applyFont="1" applyFill="1" applyBorder="1"/>
    <xf numFmtId="167" fontId="1" fillId="3" borderId="4" xfId="0" applyNumberFormat="1" applyFont="1" applyFill="1" applyBorder="1"/>
    <xf numFmtId="4" fontId="1" fillId="3" borderId="4" xfId="0" applyNumberFormat="1" applyFont="1" applyFill="1" applyBorder="1"/>
    <xf numFmtId="2" fontId="1" fillId="3" borderId="4" xfId="0" applyNumberFormat="1" applyFont="1" applyFill="1" applyBorder="1"/>
    <xf numFmtId="168" fontId="1" fillId="3" borderId="4" xfId="0" applyNumberFormat="1" applyFont="1" applyFill="1" applyBorder="1"/>
    <xf numFmtId="168" fontId="1" fillId="2" borderId="4" xfId="0" applyNumberFormat="1" applyFont="1" applyFill="1" applyBorder="1"/>
    <xf numFmtId="0" fontId="9" fillId="3" borderId="4" xfId="0" applyFont="1" applyFill="1" applyBorder="1"/>
    <xf numFmtId="165" fontId="1" fillId="3" borderId="27" xfId="0" applyNumberFormat="1" applyFont="1" applyFill="1" applyBorder="1"/>
    <xf numFmtId="3" fontId="1" fillId="4" borderId="30" xfId="0" applyNumberFormat="1" applyFont="1" applyFill="1" applyBorder="1" applyAlignment="1">
      <alignment horizontal="right"/>
    </xf>
    <xf numFmtId="2" fontId="0" fillId="0" borderId="0" xfId="0" applyNumberFormat="1"/>
    <xf numFmtId="2" fontId="8" fillId="0" borderId="0" xfId="0" applyNumberFormat="1" applyFont="1"/>
    <xf numFmtId="0" fontId="1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1" fillId="2" borderId="11" xfId="0" applyFont="1" applyFill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1" fillId="2" borderId="14" xfId="0" applyFont="1" applyFill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/>
    <xf numFmtId="0" fontId="5" fillId="3" borderId="18" xfId="0" applyFont="1" applyFill="1" applyBorder="1" applyAlignment="1">
      <alignment horizontal="center"/>
    </xf>
    <xf numFmtId="0" fontId="3" fillId="0" borderId="19" xfId="0" applyFont="1" applyBorder="1"/>
    <xf numFmtId="0" fontId="3" fillId="0" borderId="20" xfId="0" applyFont="1" applyBorder="1"/>
    <xf numFmtId="0" fontId="5" fillId="3" borderId="11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 vertical="center" wrapText="1"/>
    </xf>
    <xf numFmtId="0" fontId="3" fillId="0" borderId="3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Docencia/Herramientas_Aplicadas_aLA_Empresa/Ejemplos_Curso_Excel_Financiero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nta de Opciones"/>
      <sheetName val="Formatos"/>
      <sheetName val="Fórmulas"/>
      <sheetName val="Funciones Básicas"/>
      <sheetName val="Funciones Lógicas"/>
      <sheetName val="Formato Condicional"/>
      <sheetName val="Funciones de texto"/>
      <sheetName val="Funciones de Fecha"/>
      <sheetName val="Gráficos"/>
      <sheetName val="Datos"/>
      <sheetName val="BuscarV"/>
      <sheetName val="Auxiliar"/>
      <sheetName val="Análisis de Sensibilidad 1 VAR"/>
      <sheetName val="Análisis de Sensibilidad 2 VAR"/>
      <sheetName val="Resumen del escenario"/>
      <sheetName val="Análisis de Sensibilidad 3+ VAR"/>
      <sheetName val="BUSCAR OBJETIV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L14" sqref="L14"/>
    </sheetView>
  </sheetViews>
  <sheetFormatPr defaultColWidth="14.42578125" defaultRowHeight="15" customHeight="1" x14ac:dyDescent="0.25"/>
  <cols>
    <col min="1" max="1" width="17.7109375" customWidth="1"/>
    <col min="2" max="6" width="10.7109375" customWidth="1"/>
    <col min="7" max="7" width="12.42578125" customWidth="1"/>
    <col min="8" max="8" width="13.28515625" customWidth="1"/>
    <col min="9" max="26" width="10.7109375" customWidth="1"/>
  </cols>
  <sheetData>
    <row r="1" spans="1:26" ht="14.2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2" t="s">
        <v>1</v>
      </c>
      <c r="C3" s="3"/>
      <c r="D3" s="3"/>
      <c r="E3" s="3"/>
      <c r="F3" s="3"/>
      <c r="G3" s="3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5"/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5" t="s">
        <v>9</v>
      </c>
      <c r="B5" s="7">
        <v>43</v>
      </c>
      <c r="C5" s="7">
        <v>52</v>
      </c>
      <c r="D5" s="7">
        <v>55</v>
      </c>
      <c r="E5" s="7">
        <v>63</v>
      </c>
      <c r="F5" s="7">
        <v>49</v>
      </c>
      <c r="G5" s="7">
        <v>65</v>
      </c>
      <c r="H5" s="21">
        <f>SUM(B5:G5)</f>
        <v>327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5" t="s">
        <v>10</v>
      </c>
      <c r="B6" s="7">
        <v>90</v>
      </c>
      <c r="C6" s="7">
        <v>67</v>
      </c>
      <c r="D6" s="7">
        <v>38</v>
      </c>
      <c r="E6" s="7">
        <v>36</v>
      </c>
      <c r="F6" s="7">
        <v>76</v>
      </c>
      <c r="G6" s="7">
        <v>56</v>
      </c>
      <c r="H6" s="21">
        <f t="shared" ref="H6:H11" si="0">SUM(B6:G6)</f>
        <v>363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5" t="s">
        <v>11</v>
      </c>
      <c r="B7" s="7">
        <v>44</v>
      </c>
      <c r="C7" s="7">
        <v>32</v>
      </c>
      <c r="D7" s="7">
        <v>56</v>
      </c>
      <c r="E7" s="7">
        <v>45</v>
      </c>
      <c r="F7" s="7">
        <v>67</v>
      </c>
      <c r="G7" s="7">
        <v>78</v>
      </c>
      <c r="H7" s="21">
        <f t="shared" si="0"/>
        <v>322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5" t="s">
        <v>12</v>
      </c>
      <c r="B8" s="7">
        <v>55</v>
      </c>
      <c r="C8" s="7">
        <v>44</v>
      </c>
      <c r="D8" s="7">
        <v>54</v>
      </c>
      <c r="E8" s="7">
        <v>89</v>
      </c>
      <c r="F8" s="7">
        <v>88</v>
      </c>
      <c r="G8" s="7">
        <v>67</v>
      </c>
      <c r="H8" s="21">
        <f t="shared" si="0"/>
        <v>397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5" t="s">
        <v>13</v>
      </c>
      <c r="B9" s="7">
        <v>56</v>
      </c>
      <c r="C9" s="7">
        <v>46</v>
      </c>
      <c r="D9" s="7">
        <v>90</v>
      </c>
      <c r="E9" s="7">
        <v>56</v>
      </c>
      <c r="F9" s="7">
        <v>55</v>
      </c>
      <c r="G9" s="7">
        <v>98</v>
      </c>
      <c r="H9" s="21">
        <f t="shared" si="0"/>
        <v>401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5" t="s">
        <v>14</v>
      </c>
      <c r="B10" s="7">
        <v>24</v>
      </c>
      <c r="C10" s="7">
        <v>36</v>
      </c>
      <c r="D10" s="7">
        <v>56</v>
      </c>
      <c r="E10" s="7">
        <v>54</v>
      </c>
      <c r="F10" s="7">
        <v>66</v>
      </c>
      <c r="G10" s="7">
        <v>64</v>
      </c>
      <c r="H10" s="21">
        <f t="shared" si="0"/>
        <v>300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5" t="s">
        <v>15</v>
      </c>
      <c r="B11" s="21">
        <f>SUM(B5:B10)</f>
        <v>312</v>
      </c>
      <c r="C11" s="21">
        <f t="shared" ref="C11:G11" si="1">SUM(C5:C10)</f>
        <v>277</v>
      </c>
      <c r="D11" s="21">
        <f t="shared" si="1"/>
        <v>349</v>
      </c>
      <c r="E11" s="21">
        <f t="shared" si="1"/>
        <v>343</v>
      </c>
      <c r="F11" s="21">
        <f t="shared" si="1"/>
        <v>401</v>
      </c>
      <c r="G11" s="21">
        <f t="shared" si="1"/>
        <v>428</v>
      </c>
      <c r="H11" s="21">
        <f t="shared" si="0"/>
        <v>2110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60" t="s">
        <v>16</v>
      </c>
      <c r="B13" s="61"/>
      <c r="C13" s="62"/>
      <c r="D13" s="1"/>
      <c r="E13" s="9" t="s">
        <v>17</v>
      </c>
      <c r="F13" s="10"/>
      <c r="G13" s="10"/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7" t="s">
        <v>18</v>
      </c>
      <c r="B14" s="8">
        <v>700</v>
      </c>
      <c r="C14" s="7">
        <v>0.05</v>
      </c>
      <c r="D14" s="1"/>
      <c r="E14" s="5" t="s">
        <v>19</v>
      </c>
      <c r="F14" s="5"/>
      <c r="G14" s="5"/>
      <c r="H14" s="11">
        <v>1250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7" t="s">
        <v>20</v>
      </c>
      <c r="B15" s="8">
        <v>900</v>
      </c>
      <c r="C15" s="7">
        <v>0.08</v>
      </c>
      <c r="D15" s="1"/>
      <c r="E15" s="12" t="s">
        <v>21</v>
      </c>
      <c r="F15" s="12"/>
      <c r="G15" s="12"/>
      <c r="H15" s="13">
        <v>0.25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7" t="s">
        <v>22</v>
      </c>
      <c r="B16" s="8">
        <v>900</v>
      </c>
      <c r="C16" s="7">
        <v>0.12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63" t="s">
        <v>23</v>
      </c>
      <c r="B17" s="64"/>
      <c r="C17" s="64"/>
      <c r="D17" s="64"/>
      <c r="E17" s="64"/>
      <c r="F17" s="64"/>
      <c r="G17" s="64"/>
      <c r="H17" s="6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60" t="s">
        <v>24</v>
      </c>
      <c r="C19" s="61"/>
      <c r="D19" s="61"/>
      <c r="E19" s="61"/>
      <c r="F19" s="61"/>
      <c r="G19" s="6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6" t="s">
        <v>2</v>
      </c>
      <c r="C20" s="6" t="s">
        <v>3</v>
      </c>
      <c r="D20" s="6" t="s">
        <v>4</v>
      </c>
      <c r="E20" s="6" t="s">
        <v>5</v>
      </c>
      <c r="F20" s="6" t="s">
        <v>6</v>
      </c>
      <c r="G20" s="6" t="s">
        <v>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1">
        <v>15</v>
      </c>
      <c r="C21" s="7">
        <v>17</v>
      </c>
      <c r="D21" s="11">
        <v>11.5</v>
      </c>
      <c r="E21" s="11">
        <v>12</v>
      </c>
      <c r="F21" s="11">
        <v>14</v>
      </c>
      <c r="G21" s="11">
        <v>18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4" t="s">
        <v>25</v>
      </c>
      <c r="B22" s="1">
        <f>B21/5</f>
        <v>3</v>
      </c>
      <c r="C22" s="1">
        <f t="shared" ref="C22:G22" si="2">C21/5</f>
        <v>3.4</v>
      </c>
      <c r="D22" s="1">
        <f t="shared" si="2"/>
        <v>2.2999999999999998</v>
      </c>
      <c r="E22" s="1">
        <f t="shared" si="2"/>
        <v>2.4</v>
      </c>
      <c r="F22" s="1">
        <f t="shared" si="2"/>
        <v>2.8</v>
      </c>
      <c r="G22" s="1">
        <f t="shared" si="2"/>
        <v>3.6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66" t="s">
        <v>26</v>
      </c>
      <c r="C23" s="67"/>
      <c r="D23" s="67"/>
      <c r="E23" s="67"/>
      <c r="F23" s="67"/>
      <c r="G23" s="6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5"/>
      <c r="B24" s="5" t="s">
        <v>27</v>
      </c>
      <c r="C24" s="5" t="s">
        <v>28</v>
      </c>
      <c r="D24" s="5" t="s">
        <v>29</v>
      </c>
      <c r="E24" s="5" t="s">
        <v>30</v>
      </c>
      <c r="F24" s="5" t="s">
        <v>31</v>
      </c>
      <c r="G24" s="5" t="s">
        <v>32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6" t="s">
        <v>2</v>
      </c>
      <c r="B25" s="5">
        <v>6.6</v>
      </c>
      <c r="C25" s="5">
        <v>7.8</v>
      </c>
      <c r="D25" s="5">
        <v>8.6</v>
      </c>
      <c r="E25" s="5">
        <v>9.8000000000000007</v>
      </c>
      <c r="F25" s="5">
        <v>10.9</v>
      </c>
      <c r="G25" s="5">
        <v>11.6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6" t="s">
        <v>3</v>
      </c>
      <c r="B26" s="5">
        <v>7.8</v>
      </c>
      <c r="C26" s="5">
        <v>8.3000000000000007</v>
      </c>
      <c r="D26" s="5">
        <v>9.1</v>
      </c>
      <c r="E26" s="5">
        <v>9.4</v>
      </c>
      <c r="F26" s="5">
        <v>10.8</v>
      </c>
      <c r="G26" s="5">
        <v>12.3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6" t="s">
        <v>4</v>
      </c>
      <c r="B27" s="5">
        <v>6.3</v>
      </c>
      <c r="C27" s="5">
        <v>7.7</v>
      </c>
      <c r="D27" s="5">
        <v>8.8000000000000007</v>
      </c>
      <c r="E27" s="5">
        <v>10.199999999999999</v>
      </c>
      <c r="F27" s="54">
        <v>11.1</v>
      </c>
      <c r="G27" s="5">
        <v>12.1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6" t="s">
        <v>5</v>
      </c>
      <c r="B28" s="5">
        <v>6.1</v>
      </c>
      <c r="C28" s="5">
        <v>8.1999999999999993</v>
      </c>
      <c r="D28" s="5">
        <v>8.5</v>
      </c>
      <c r="E28" s="5">
        <v>9.6999999999999993</v>
      </c>
      <c r="F28" s="5">
        <v>12</v>
      </c>
      <c r="G28" s="5">
        <v>11.9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6" t="s">
        <v>6</v>
      </c>
      <c r="B29" s="5">
        <v>6.9</v>
      </c>
      <c r="C29" s="5">
        <v>8.4</v>
      </c>
      <c r="D29" s="5">
        <v>8.4</v>
      </c>
      <c r="E29" s="5">
        <v>9.6</v>
      </c>
      <c r="F29" s="5">
        <v>11.5</v>
      </c>
      <c r="G29" s="5">
        <v>12.8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6" t="s">
        <v>7</v>
      </c>
      <c r="B30" s="5">
        <v>5.9</v>
      </c>
      <c r="C30" s="5">
        <v>8.1</v>
      </c>
      <c r="D30" s="5">
        <v>8.9</v>
      </c>
      <c r="E30" s="5">
        <v>9.9</v>
      </c>
      <c r="F30" s="5">
        <v>11.1</v>
      </c>
      <c r="G30" s="5">
        <v>12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66" t="s">
        <v>33</v>
      </c>
      <c r="C32" s="67"/>
      <c r="D32" s="67"/>
      <c r="E32" s="67"/>
      <c r="F32" s="67"/>
      <c r="G32" s="6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5" t="s">
        <v>9</v>
      </c>
      <c r="C33" s="5" t="s">
        <v>10</v>
      </c>
      <c r="D33" s="5" t="s">
        <v>11</v>
      </c>
      <c r="E33" s="5" t="s">
        <v>12</v>
      </c>
      <c r="F33" s="5" t="s">
        <v>13</v>
      </c>
      <c r="G33" s="5" t="s">
        <v>14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5">
        <v>75</v>
      </c>
      <c r="C34" s="15">
        <v>91</v>
      </c>
      <c r="D34" s="15">
        <v>121</v>
      </c>
      <c r="E34" s="15">
        <v>68</v>
      </c>
      <c r="F34" s="15">
        <v>106</v>
      </c>
      <c r="G34" s="15">
        <v>104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60" t="s">
        <v>165</v>
      </c>
      <c r="C36" s="61"/>
      <c r="D36" s="61"/>
      <c r="E36" s="61"/>
      <c r="F36" s="61"/>
      <c r="G36" s="6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6" t="s">
        <v>2</v>
      </c>
      <c r="C37" s="6" t="s">
        <v>3</v>
      </c>
      <c r="D37" s="6" t="s">
        <v>4</v>
      </c>
      <c r="E37" s="6" t="s">
        <v>5</v>
      </c>
      <c r="F37" s="6" t="s">
        <v>6</v>
      </c>
      <c r="G37" s="6" t="s">
        <v>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6">
        <v>20</v>
      </c>
      <c r="C38" s="16">
        <v>23</v>
      </c>
      <c r="D38" s="16">
        <v>22</v>
      </c>
      <c r="E38" s="16">
        <v>24</v>
      </c>
      <c r="F38" s="16">
        <v>18</v>
      </c>
      <c r="G38" s="16">
        <v>20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36:G36"/>
    <mergeCell ref="A13:C13"/>
    <mergeCell ref="A17:H17"/>
    <mergeCell ref="B19:G19"/>
    <mergeCell ref="B23:G23"/>
    <mergeCell ref="B32:G32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opLeftCell="A18" workbookViewId="0">
      <selection activeCell="C29" sqref="C29"/>
    </sheetView>
  </sheetViews>
  <sheetFormatPr defaultColWidth="14.42578125" defaultRowHeight="15" customHeight="1" x14ac:dyDescent="0.25"/>
  <cols>
    <col min="1" max="1" width="35.5703125" customWidth="1"/>
    <col min="2" max="2" width="12.140625" customWidth="1"/>
    <col min="3" max="3" width="19.7109375" customWidth="1"/>
    <col min="4" max="4" width="17.7109375" customWidth="1"/>
    <col min="5" max="5" width="15.140625" customWidth="1"/>
    <col min="6" max="7" width="10.7109375" customWidth="1"/>
    <col min="8" max="8" width="13.42578125" customWidth="1"/>
    <col min="9" max="9" width="10.7109375" customWidth="1"/>
    <col min="10" max="11" width="11.85546875" customWidth="1"/>
    <col min="12" max="26" width="10.7109375" customWidth="1"/>
  </cols>
  <sheetData>
    <row r="1" spans="1:14" ht="14.25" customHeight="1" x14ac:dyDescent="0.25">
      <c r="A1" s="17" t="s">
        <v>34</v>
      </c>
    </row>
    <row r="2" spans="1:14" ht="14.25" customHeight="1" x14ac:dyDescent="0.25">
      <c r="A2" s="18"/>
      <c r="B2" s="69" t="s">
        <v>35</v>
      </c>
      <c r="C2" s="70"/>
      <c r="D2" s="70"/>
      <c r="E2" s="70"/>
      <c r="F2" s="70"/>
      <c r="G2" s="70"/>
      <c r="H2" s="70"/>
      <c r="I2" s="71"/>
      <c r="J2" s="19">
        <v>2023</v>
      </c>
      <c r="K2" s="19">
        <v>2024</v>
      </c>
      <c r="L2" s="19">
        <v>2024</v>
      </c>
    </row>
    <row r="3" spans="1:14" ht="25.5" customHeight="1" x14ac:dyDescent="0.25">
      <c r="A3" s="20"/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40" t="s">
        <v>166</v>
      </c>
      <c r="I3" s="40" t="s">
        <v>50</v>
      </c>
      <c r="J3" s="41" t="s">
        <v>167</v>
      </c>
      <c r="K3" s="41" t="s">
        <v>167</v>
      </c>
      <c r="L3" s="42" t="s">
        <v>168</v>
      </c>
      <c r="M3" s="43" t="s">
        <v>169</v>
      </c>
      <c r="N3" s="43" t="s">
        <v>170</v>
      </c>
    </row>
    <row r="4" spans="1:14" ht="14.25" customHeight="1" x14ac:dyDescent="0.25">
      <c r="A4" s="21" t="s">
        <v>9</v>
      </c>
      <c r="B4" s="22">
        <f>'VertiPinturas Data Formats'!B5*'VertiPinturas Data Formats'!$B$22</f>
        <v>129</v>
      </c>
      <c r="C4" s="22">
        <f>'VertiPinturas Data Formats'!C5*'VertiPinturas Data Formats'!$C$22</f>
        <v>176.79999999999998</v>
      </c>
      <c r="D4" s="22">
        <f>'VertiPinturas Data Formats'!D5*'VertiPinturas Data Formats'!$D$22</f>
        <v>126.49999999999999</v>
      </c>
      <c r="E4" s="22">
        <f>'VertiPinturas Data Formats'!E5*'VertiPinturas Data Formats'!$E$22</f>
        <v>151.19999999999999</v>
      </c>
      <c r="F4" s="22">
        <f>'VertiPinturas Data Formats'!F5*'VertiPinturas Data Formats'!$F$22</f>
        <v>137.19999999999999</v>
      </c>
      <c r="G4" s="22">
        <f>'VertiPinturas Data Formats'!G5*'VertiPinturas Data Formats'!$G$22</f>
        <v>234</v>
      </c>
      <c r="H4" s="22">
        <f>SUM(B4:G4)</f>
        <v>954.7</v>
      </c>
      <c r="I4" s="23">
        <f>H4*'VertiPinturas Data Formats'!$C$16</f>
        <v>114.56400000000001</v>
      </c>
      <c r="J4" s="24">
        <f>H4-I4</f>
        <v>840.13600000000008</v>
      </c>
      <c r="K4" s="24">
        <f>J4*(1+0.03)</f>
        <v>865.34008000000006</v>
      </c>
      <c r="L4" s="44">
        <f>J4*1.03</f>
        <v>865.34008000000006</v>
      </c>
      <c r="M4" s="45">
        <f>L4-J4</f>
        <v>25.204079999999976</v>
      </c>
      <c r="N4" s="46">
        <f>(L4/J4)-1</f>
        <v>3.0000000000000027E-2</v>
      </c>
    </row>
    <row r="5" spans="1:14" ht="14.25" customHeight="1" x14ac:dyDescent="0.25">
      <c r="A5" s="21" t="s">
        <v>10</v>
      </c>
      <c r="B5" s="22">
        <f>'VertiPinturas Data Formats'!B6*'VertiPinturas Data Formats'!$B$22</f>
        <v>270</v>
      </c>
      <c r="C5" s="22">
        <f>'VertiPinturas Data Formats'!C6*'VertiPinturas Data Formats'!$C$22</f>
        <v>227.79999999999998</v>
      </c>
      <c r="D5" s="22">
        <f>'VertiPinturas Data Formats'!D6*'VertiPinturas Data Formats'!$D$22</f>
        <v>87.399999999999991</v>
      </c>
      <c r="E5" s="22">
        <f>'VertiPinturas Data Formats'!E6*'VertiPinturas Data Formats'!$E$22</f>
        <v>86.399999999999991</v>
      </c>
      <c r="F5" s="22">
        <f>'VertiPinturas Data Formats'!F6*'VertiPinturas Data Formats'!$F$22</f>
        <v>212.79999999999998</v>
      </c>
      <c r="G5" s="22">
        <f>'VertiPinturas Data Formats'!G6*'VertiPinturas Data Formats'!$G$22</f>
        <v>201.6</v>
      </c>
      <c r="H5" s="22">
        <f t="shared" ref="H5:H9" si="0">SUM(B5:G5)</f>
        <v>1085.9999999999998</v>
      </c>
      <c r="I5" s="23">
        <f>H5*'VertiPinturas Data Formats'!$C$16</f>
        <v>130.31999999999996</v>
      </c>
      <c r="J5" s="24">
        <f t="shared" ref="J5:J9" si="1">H5-I5</f>
        <v>955.67999999999984</v>
      </c>
      <c r="K5" s="24">
        <f t="shared" ref="K5:K9" si="2">J5*(1+0.03)</f>
        <v>984.35039999999981</v>
      </c>
      <c r="L5" s="44">
        <f t="shared" ref="L5:L9" si="3">J5*1.03</f>
        <v>984.35039999999981</v>
      </c>
      <c r="M5" s="45">
        <f t="shared" ref="M5:M9" si="4">L5-J5</f>
        <v>28.670399999999972</v>
      </c>
      <c r="N5" s="46">
        <f t="shared" ref="N5:N9" si="5">(L5/J5)-1</f>
        <v>3.0000000000000027E-2</v>
      </c>
    </row>
    <row r="6" spans="1:14" ht="14.25" customHeight="1" x14ac:dyDescent="0.25">
      <c r="A6" s="21" t="s">
        <v>11</v>
      </c>
      <c r="B6" s="22">
        <f>'VertiPinturas Data Formats'!B7*'VertiPinturas Data Formats'!$B$22</f>
        <v>132</v>
      </c>
      <c r="C6" s="22">
        <f>'VertiPinturas Data Formats'!C7*'VertiPinturas Data Formats'!$C$22</f>
        <v>108.8</v>
      </c>
      <c r="D6" s="22">
        <f>'VertiPinturas Data Formats'!D7*'VertiPinturas Data Formats'!$D$22</f>
        <v>128.79999999999998</v>
      </c>
      <c r="E6" s="22">
        <f>'VertiPinturas Data Formats'!E7*'VertiPinturas Data Formats'!$E$22</f>
        <v>108</v>
      </c>
      <c r="F6" s="22">
        <f>'VertiPinturas Data Formats'!F7*'VertiPinturas Data Formats'!$F$22</f>
        <v>187.6</v>
      </c>
      <c r="G6" s="22">
        <f>'VertiPinturas Data Formats'!G7*'VertiPinturas Data Formats'!$G$22</f>
        <v>280.8</v>
      </c>
      <c r="H6" s="22">
        <f t="shared" si="0"/>
        <v>946</v>
      </c>
      <c r="I6" s="23">
        <f>H6*'VertiPinturas Data Formats'!$C$16</f>
        <v>113.52</v>
      </c>
      <c r="J6" s="24">
        <f t="shared" si="1"/>
        <v>832.48</v>
      </c>
      <c r="K6" s="24">
        <f t="shared" si="2"/>
        <v>857.45440000000008</v>
      </c>
      <c r="L6" s="44">
        <f t="shared" si="3"/>
        <v>857.45440000000008</v>
      </c>
      <c r="M6" s="45">
        <f t="shared" si="4"/>
        <v>24.97440000000006</v>
      </c>
      <c r="N6" s="46">
        <f t="shared" si="5"/>
        <v>3.0000000000000027E-2</v>
      </c>
    </row>
    <row r="7" spans="1:14" ht="14.25" customHeight="1" x14ac:dyDescent="0.25">
      <c r="A7" s="21" t="s">
        <v>12</v>
      </c>
      <c r="B7" s="22">
        <f>'VertiPinturas Data Formats'!B8*'VertiPinturas Data Formats'!$B$22</f>
        <v>165</v>
      </c>
      <c r="C7" s="22">
        <f>'VertiPinturas Data Formats'!C8*'VertiPinturas Data Formats'!$C$22</f>
        <v>149.6</v>
      </c>
      <c r="D7" s="22">
        <f>'VertiPinturas Data Formats'!D8*'VertiPinturas Data Formats'!$D$22</f>
        <v>124.19999999999999</v>
      </c>
      <c r="E7" s="22">
        <f>'VertiPinturas Data Formats'!E8*'VertiPinturas Data Formats'!$E$22</f>
        <v>213.6</v>
      </c>
      <c r="F7" s="22">
        <f>'VertiPinturas Data Formats'!F8*'VertiPinturas Data Formats'!$F$22</f>
        <v>246.39999999999998</v>
      </c>
      <c r="G7" s="22">
        <f>'VertiPinturas Data Formats'!G8*'VertiPinturas Data Formats'!$G$22</f>
        <v>241.20000000000002</v>
      </c>
      <c r="H7" s="22">
        <f t="shared" si="0"/>
        <v>1140</v>
      </c>
      <c r="I7" s="23">
        <f>H7*'VertiPinturas Data Formats'!$C$16</f>
        <v>136.79999999999998</v>
      </c>
      <c r="J7" s="24">
        <f t="shared" si="1"/>
        <v>1003.2</v>
      </c>
      <c r="K7" s="24">
        <f t="shared" si="2"/>
        <v>1033.296</v>
      </c>
      <c r="L7" s="44">
        <f t="shared" si="3"/>
        <v>1033.296</v>
      </c>
      <c r="M7" s="45">
        <f t="shared" si="4"/>
        <v>30.096000000000004</v>
      </c>
      <c r="N7" s="46">
        <f t="shared" si="5"/>
        <v>3.0000000000000027E-2</v>
      </c>
    </row>
    <row r="8" spans="1:14" ht="14.25" customHeight="1" x14ac:dyDescent="0.25">
      <c r="A8" s="21" t="s">
        <v>13</v>
      </c>
      <c r="B8" s="22">
        <f>'VertiPinturas Data Formats'!B9*'VertiPinturas Data Formats'!$B$22</f>
        <v>168</v>
      </c>
      <c r="C8" s="22">
        <f>'VertiPinturas Data Formats'!C9*'VertiPinturas Data Formats'!$C$22</f>
        <v>156.4</v>
      </c>
      <c r="D8" s="22">
        <f>'VertiPinturas Data Formats'!D9*'VertiPinturas Data Formats'!$D$22</f>
        <v>206.99999999999997</v>
      </c>
      <c r="E8" s="22">
        <f>'VertiPinturas Data Formats'!E9*'VertiPinturas Data Formats'!$E$22</f>
        <v>134.4</v>
      </c>
      <c r="F8" s="22">
        <f>'VertiPinturas Data Formats'!F9*'VertiPinturas Data Formats'!$F$22</f>
        <v>154</v>
      </c>
      <c r="G8" s="22">
        <f>'VertiPinturas Data Formats'!G9*'VertiPinturas Data Formats'!$G$22</f>
        <v>352.8</v>
      </c>
      <c r="H8" s="22">
        <f t="shared" si="0"/>
        <v>1172.5999999999999</v>
      </c>
      <c r="I8" s="23">
        <f>H8*'VertiPinturas Data Formats'!$C$16</f>
        <v>140.71199999999999</v>
      </c>
      <c r="J8" s="24">
        <f t="shared" si="1"/>
        <v>1031.8879999999999</v>
      </c>
      <c r="K8" s="24">
        <f t="shared" si="2"/>
        <v>1062.84464</v>
      </c>
      <c r="L8" s="44">
        <f t="shared" si="3"/>
        <v>1062.84464</v>
      </c>
      <c r="M8" s="45">
        <f t="shared" si="4"/>
        <v>30.956640000000107</v>
      </c>
      <c r="N8" s="46">
        <f t="shared" si="5"/>
        <v>3.0000000000000027E-2</v>
      </c>
    </row>
    <row r="9" spans="1:14" ht="14.25" customHeight="1" x14ac:dyDescent="0.25">
      <c r="A9" s="21" t="s">
        <v>14</v>
      </c>
      <c r="B9" s="22">
        <f>'VertiPinturas Data Formats'!B10*'VertiPinturas Data Formats'!$B$22</f>
        <v>72</v>
      </c>
      <c r="C9" s="22">
        <f>'VertiPinturas Data Formats'!C10*'VertiPinturas Data Formats'!$C$22</f>
        <v>122.39999999999999</v>
      </c>
      <c r="D9" s="22">
        <f>'VertiPinturas Data Formats'!D10*'VertiPinturas Data Formats'!$D$22</f>
        <v>128.79999999999998</v>
      </c>
      <c r="E9" s="22">
        <f>'VertiPinturas Data Formats'!E10*'VertiPinturas Data Formats'!$E$22</f>
        <v>129.6</v>
      </c>
      <c r="F9" s="22">
        <f>'VertiPinturas Data Formats'!F10*'VertiPinturas Data Formats'!$F$22</f>
        <v>184.79999999999998</v>
      </c>
      <c r="G9" s="22">
        <f>'VertiPinturas Data Formats'!G10*'VertiPinturas Data Formats'!$G$22</f>
        <v>230.4</v>
      </c>
      <c r="H9" s="22">
        <f t="shared" si="0"/>
        <v>867.99999999999989</v>
      </c>
      <c r="I9" s="23">
        <f>H9*'VertiPinturas Data Formats'!$C$15</f>
        <v>69.44</v>
      </c>
      <c r="J9" s="24">
        <f t="shared" si="1"/>
        <v>798.56</v>
      </c>
      <c r="K9" s="24">
        <f t="shared" si="2"/>
        <v>822.51679999999999</v>
      </c>
      <c r="L9" s="44">
        <f t="shared" si="3"/>
        <v>822.51679999999999</v>
      </c>
      <c r="M9" s="45">
        <f t="shared" si="4"/>
        <v>23.956800000000044</v>
      </c>
      <c r="N9" s="46">
        <f t="shared" si="5"/>
        <v>3.0000000000000027E-2</v>
      </c>
    </row>
    <row r="10" spans="1:14" ht="14.25" customHeight="1" x14ac:dyDescent="0.25">
      <c r="A10" s="25" t="s">
        <v>15</v>
      </c>
      <c r="B10" s="48">
        <f>SUM(B4:B9)</f>
        <v>936</v>
      </c>
      <c r="C10" s="48">
        <f t="shared" ref="C10:K10" si="6">SUM(C4:C9)</f>
        <v>941.8</v>
      </c>
      <c r="D10" s="48">
        <f t="shared" si="6"/>
        <v>802.69999999999982</v>
      </c>
      <c r="E10" s="48">
        <f t="shared" si="6"/>
        <v>823.19999999999993</v>
      </c>
      <c r="F10" s="48">
        <f t="shared" si="6"/>
        <v>1122.8</v>
      </c>
      <c r="G10" s="48">
        <f t="shared" si="6"/>
        <v>1540.8000000000002</v>
      </c>
      <c r="H10" s="48">
        <f t="shared" si="6"/>
        <v>6167.2999999999993</v>
      </c>
      <c r="I10" s="48">
        <f t="shared" si="6"/>
        <v>705.35599999999999</v>
      </c>
      <c r="J10" s="48">
        <f t="shared" si="6"/>
        <v>5461.9439999999995</v>
      </c>
      <c r="K10" s="48">
        <f t="shared" si="6"/>
        <v>5625.8023200000007</v>
      </c>
      <c r="L10" s="47">
        <f>SUM(L4:L9)</f>
        <v>5625.8023200000007</v>
      </c>
      <c r="M10" s="47">
        <f>SUM(M4:M9)</f>
        <v>163.85832000000016</v>
      </c>
      <c r="N10" s="47"/>
    </row>
    <row r="11" spans="1:14" ht="14.25" customHeight="1" x14ac:dyDescent="0.25">
      <c r="A11" s="26" t="s">
        <v>36</v>
      </c>
      <c r="B11" s="27"/>
    </row>
    <row r="12" spans="1:14" ht="14.25" customHeight="1" x14ac:dyDescent="0.25"/>
    <row r="13" spans="1:14" ht="14.25" customHeight="1" x14ac:dyDescent="0.25">
      <c r="A13" s="72" t="s">
        <v>37</v>
      </c>
      <c r="B13" s="64"/>
      <c r="C13" s="65"/>
      <c r="D13" s="49">
        <f>'VertiPinturas Data Formats'!H14/'VertiPinturas Data Formats'!H11</f>
        <v>0.59241706161137442</v>
      </c>
    </row>
    <row r="14" spans="1:14" ht="14.25" customHeight="1" x14ac:dyDescent="0.25"/>
    <row r="15" spans="1:14" ht="14.25" customHeight="1" x14ac:dyDescent="0.25">
      <c r="A15" s="20"/>
      <c r="B15" s="20" t="s">
        <v>2</v>
      </c>
      <c r="C15" s="20" t="s">
        <v>3</v>
      </c>
      <c r="D15" s="20" t="s">
        <v>4</v>
      </c>
      <c r="E15" s="20" t="s">
        <v>5</v>
      </c>
      <c r="F15" s="20" t="s">
        <v>6</v>
      </c>
      <c r="G15" s="20" t="s">
        <v>7</v>
      </c>
    </row>
    <row r="16" spans="1:14" ht="14.25" customHeight="1" x14ac:dyDescent="0.25">
      <c r="A16" s="21" t="s">
        <v>38</v>
      </c>
      <c r="B16" s="50">
        <f>'VertiPinturas Data Formats'!B22</f>
        <v>3</v>
      </c>
      <c r="C16" s="50">
        <f>'VertiPinturas Data Formats'!C22</f>
        <v>3.4</v>
      </c>
      <c r="D16" s="50">
        <f>'VertiPinturas Data Formats'!D22</f>
        <v>2.2999999999999998</v>
      </c>
      <c r="E16" s="50">
        <f>'VertiPinturas Data Formats'!E22</f>
        <v>2.4</v>
      </c>
      <c r="F16" s="50">
        <f>'VertiPinturas Data Formats'!F22</f>
        <v>2.8</v>
      </c>
      <c r="G16" s="50">
        <f>'VertiPinturas Data Formats'!G22</f>
        <v>3.6</v>
      </c>
      <c r="H16" s="58"/>
    </row>
    <row r="17" spans="1:8" ht="14.25" customHeight="1" x14ac:dyDescent="0.25">
      <c r="A17" s="21" t="s">
        <v>39</v>
      </c>
      <c r="B17" s="51">
        <f>$D$13+'VertiPinturas Data Formats'!$H$15*'Vertipinturas oper &amp; ref'!B16</f>
        <v>1.3424170616113744</v>
      </c>
      <c r="C17" s="51">
        <f>$D$13+'VertiPinturas Data Formats'!$H$15*'Vertipinturas oper &amp; ref'!C16</f>
        <v>1.4424170616113745</v>
      </c>
      <c r="D17" s="51">
        <f>$D$13+'VertiPinturas Data Formats'!$H$15*'Vertipinturas oper &amp; ref'!D16</f>
        <v>1.1674170616113744</v>
      </c>
      <c r="E17" s="51">
        <f>$D$13+'VertiPinturas Data Formats'!$H$15*'Vertipinturas oper &amp; ref'!E16</f>
        <v>1.1924170616113745</v>
      </c>
      <c r="F17" s="51">
        <f>$D$13+'VertiPinturas Data Formats'!$H$15*'Vertipinturas oper &amp; ref'!F16</f>
        <v>1.2924170616113744</v>
      </c>
      <c r="G17" s="51">
        <f>$D$13+'VertiPinturas Data Formats'!$H$15*'Vertipinturas oper &amp; ref'!G16</f>
        <v>1.4924170616113743</v>
      </c>
      <c r="H17" s="58"/>
    </row>
    <row r="18" spans="1:8" ht="14.25" customHeight="1" x14ac:dyDescent="0.25">
      <c r="A18" s="21" t="s">
        <v>40</v>
      </c>
      <c r="B18" s="51">
        <f>B16-B17</f>
        <v>1.6575829383886256</v>
      </c>
      <c r="C18" s="51">
        <f t="shared" ref="C18:G18" si="7">C16-C17</f>
        <v>1.9575829383886254</v>
      </c>
      <c r="D18" s="51">
        <f t="shared" si="7"/>
        <v>1.1325829383886254</v>
      </c>
      <c r="E18" s="51">
        <f t="shared" si="7"/>
        <v>1.2075829383886254</v>
      </c>
      <c r="F18" s="51">
        <f t="shared" si="7"/>
        <v>1.5075829383886254</v>
      </c>
      <c r="G18" s="51">
        <f t="shared" si="7"/>
        <v>2.1075829383886258</v>
      </c>
      <c r="H18" s="58"/>
    </row>
    <row r="19" spans="1:8" ht="14.25" customHeight="1" x14ac:dyDescent="0.25">
      <c r="A19" s="21" t="s">
        <v>41</v>
      </c>
      <c r="B19" s="29">
        <f>B18/B17</f>
        <v>1.2347749338040599</v>
      </c>
      <c r="C19" s="29">
        <f t="shared" ref="C19:G19" si="8">C18/C17</f>
        <v>1.3571545917529158</v>
      </c>
      <c r="D19" s="29">
        <f t="shared" si="8"/>
        <v>0.97016137217091236</v>
      </c>
      <c r="E19" s="29">
        <f t="shared" si="8"/>
        <v>1.0127186009538949</v>
      </c>
      <c r="F19" s="29">
        <f t="shared" si="8"/>
        <v>1.1664833149981664</v>
      </c>
      <c r="G19" s="29">
        <f t="shared" si="8"/>
        <v>1.412194347411877</v>
      </c>
      <c r="H19" s="58"/>
    </row>
    <row r="20" spans="1:8" ht="14.25" customHeight="1" x14ac:dyDescent="0.25">
      <c r="A20" s="21" t="s">
        <v>42</v>
      </c>
      <c r="B20" s="52">
        <f>B18*'VertiPinturas Data Formats'!B11</f>
        <v>517.16587677725113</v>
      </c>
      <c r="C20" s="52">
        <f>C18*'VertiPinturas Data Formats'!C11</f>
        <v>542.25047393364923</v>
      </c>
      <c r="D20" s="52">
        <f>D18*'VertiPinturas Data Formats'!D11</f>
        <v>395.27144549763028</v>
      </c>
      <c r="E20" s="52">
        <f>E18*'VertiPinturas Data Formats'!E11</f>
        <v>414.20094786729851</v>
      </c>
      <c r="F20" s="52">
        <f>F18*'VertiPinturas Data Formats'!F11</f>
        <v>604.54075829383885</v>
      </c>
      <c r="G20" s="52">
        <f>G18*'VertiPinturas Data Formats'!G11</f>
        <v>902.04549763033185</v>
      </c>
      <c r="H20" s="59">
        <f>SUM(B20:G20)</f>
        <v>3375.4749999999999</v>
      </c>
    </row>
    <row r="21" spans="1:8" ht="14.25" customHeight="1" x14ac:dyDescent="0.25">
      <c r="A21" s="30" t="s">
        <v>43</v>
      </c>
    </row>
    <row r="22" spans="1:8" ht="14.25" customHeight="1" thickBot="1" x14ac:dyDescent="0.3">
      <c r="A22" s="18"/>
      <c r="B22" s="73" t="s">
        <v>44</v>
      </c>
      <c r="C22" s="67"/>
      <c r="D22" s="67"/>
      <c r="E22" s="67"/>
      <c r="F22" s="67"/>
      <c r="G22" s="68"/>
      <c r="H22" s="74" t="s">
        <v>45</v>
      </c>
    </row>
    <row r="23" spans="1:8" ht="14.25" customHeight="1" x14ac:dyDescent="0.25">
      <c r="A23" s="20"/>
      <c r="B23" s="20" t="s">
        <v>2</v>
      </c>
      <c r="C23" s="20" t="s">
        <v>3</v>
      </c>
      <c r="D23" s="20" t="s">
        <v>4</v>
      </c>
      <c r="E23" s="20" t="s">
        <v>5</v>
      </c>
      <c r="F23" s="20" t="s">
        <v>6</v>
      </c>
      <c r="G23" s="20" t="s">
        <v>7</v>
      </c>
      <c r="H23" s="75"/>
    </row>
    <row r="24" spans="1:8" ht="14.25" customHeight="1" x14ac:dyDescent="0.25">
      <c r="A24" s="21" t="s">
        <v>9</v>
      </c>
      <c r="B24" s="53">
        <f>'VertiPinturas Data Formats'!B5*'VertiPinturas Data Formats'!B25</f>
        <v>283.8</v>
      </c>
      <c r="C24" s="21">
        <f>'VertiPinturas Data Formats'!C5*'VertiPinturas Data Formats'!B26</f>
        <v>405.59999999999997</v>
      </c>
      <c r="D24" s="21">
        <f>'VertiPinturas Data Formats'!D5*'VertiPinturas Data Formats'!B27</f>
        <v>346.5</v>
      </c>
      <c r="E24" s="21">
        <f>'VertiPinturas Data Formats'!E5*'VertiPinturas Data Formats'!B28</f>
        <v>384.29999999999995</v>
      </c>
      <c r="F24" s="21">
        <f>'VertiPinturas Data Formats'!F5*'VertiPinturas Data Formats'!B29</f>
        <v>338.1</v>
      </c>
      <c r="G24" s="21">
        <f>'VertiPinturas Data Formats'!G5*'VertiPinturas Data Formats'!B30</f>
        <v>383.5</v>
      </c>
      <c r="H24" s="57">
        <v>75</v>
      </c>
    </row>
    <row r="25" spans="1:8" ht="14.25" customHeight="1" x14ac:dyDescent="0.25">
      <c r="A25" s="21" t="s">
        <v>10</v>
      </c>
      <c r="B25" s="53">
        <f>'VertiPinturas Data Formats'!B6*'VertiPinturas Data Formats'!C25</f>
        <v>702</v>
      </c>
      <c r="C25" s="21">
        <f>'VertiPinturas Data Formats'!C6*'VertiPinturas Data Formats'!C26</f>
        <v>556.1</v>
      </c>
      <c r="D25" s="21">
        <f>'VertiPinturas Data Formats'!D6*'VertiPinturas Data Formats'!C27</f>
        <v>292.60000000000002</v>
      </c>
      <c r="E25" s="21">
        <f>'VertiPinturas Data Formats'!E6*'VertiPinturas Data Formats'!C28</f>
        <v>295.2</v>
      </c>
      <c r="F25" s="21">
        <f>'VertiPinturas Data Formats'!F6*'VertiPinturas Data Formats'!C29</f>
        <v>638.4</v>
      </c>
      <c r="G25" s="21">
        <f>'VertiPinturas Data Formats'!G6*'VertiPinturas Data Formats'!C30</f>
        <v>453.59999999999997</v>
      </c>
      <c r="H25" s="57">
        <v>91</v>
      </c>
    </row>
    <row r="26" spans="1:8" ht="14.25" customHeight="1" x14ac:dyDescent="0.25">
      <c r="A26" s="21" t="s">
        <v>11</v>
      </c>
      <c r="B26" s="53">
        <f>'VertiPinturas Data Formats'!B7*'VertiPinturas Data Formats'!D25</f>
        <v>378.4</v>
      </c>
      <c r="C26" s="21">
        <f>'VertiPinturas Data Formats'!C7*'VertiPinturas Data Formats'!D26</f>
        <v>291.2</v>
      </c>
      <c r="D26" s="21">
        <f>'VertiPinturas Data Formats'!D7*'VertiPinturas Data Formats'!D27</f>
        <v>492.80000000000007</v>
      </c>
      <c r="E26" s="21">
        <f>'VertiPinturas Data Formats'!E7*'VertiPinturas Data Formats'!D28</f>
        <v>382.5</v>
      </c>
      <c r="F26" s="21">
        <f>'VertiPinturas Data Formats'!F7*'VertiPinturas Data Formats'!D29</f>
        <v>562.80000000000007</v>
      </c>
      <c r="G26" s="21">
        <f>'VertiPinturas Data Formats'!G7*'VertiPinturas Data Formats'!D30</f>
        <v>694.2</v>
      </c>
      <c r="H26" s="57">
        <v>121</v>
      </c>
    </row>
    <row r="27" spans="1:8" ht="14.25" customHeight="1" x14ac:dyDescent="0.25">
      <c r="A27" s="21" t="s">
        <v>12</v>
      </c>
      <c r="B27" s="53">
        <f>'VertiPinturas Data Formats'!B8*'VertiPinturas Data Formats'!E25</f>
        <v>539</v>
      </c>
      <c r="C27" s="21">
        <f>'VertiPinturas Data Formats'!E26*'VertiPinturas Data Formats'!C8</f>
        <v>413.6</v>
      </c>
      <c r="D27" s="21">
        <f>'VertiPinturas Data Formats'!D8*'VertiPinturas Data Formats'!E27</f>
        <v>550.79999999999995</v>
      </c>
      <c r="E27" s="21">
        <f>'VertiPinturas Data Formats'!E8*'VertiPinturas Data Formats'!E28</f>
        <v>863.3</v>
      </c>
      <c r="F27" s="21">
        <f>'VertiPinturas Data Formats'!F8*'VertiPinturas Data Formats'!E29</f>
        <v>844.8</v>
      </c>
      <c r="G27" s="21">
        <f>'VertiPinturas Data Formats'!G8*'VertiPinturas Data Formats'!E30</f>
        <v>663.30000000000007</v>
      </c>
      <c r="H27" s="57">
        <v>68</v>
      </c>
    </row>
    <row r="28" spans="1:8" ht="14.25" customHeight="1" x14ac:dyDescent="0.25">
      <c r="A28" s="21" t="s">
        <v>13</v>
      </c>
      <c r="B28" s="53">
        <f>'VertiPinturas Data Formats'!B9*'VertiPinturas Data Formats'!F25</f>
        <v>610.4</v>
      </c>
      <c r="C28" s="21">
        <f>'VertiPinturas Data Formats'!C9*'VertiPinturas Data Formats'!F26</f>
        <v>496.8</v>
      </c>
      <c r="D28" s="52">
        <f>'VertiPinturas Data Formats'!D9*'VertiPinturas Data Formats'!F27</f>
        <v>999</v>
      </c>
      <c r="E28" s="21">
        <f>'VertiPinturas Data Formats'!E9*'VertiPinturas Data Formats'!F28</f>
        <v>672</v>
      </c>
      <c r="F28" s="55">
        <f>'VertiPinturas Data Formats'!F9*'VertiPinturas Data Formats'!F29</f>
        <v>632.5</v>
      </c>
      <c r="G28" s="55">
        <f>'VertiPinturas Data Formats'!G9*'VertiPinturas Data Formats'!F30</f>
        <v>1087.8</v>
      </c>
      <c r="H28" s="57">
        <v>106</v>
      </c>
    </row>
    <row r="29" spans="1:8" ht="14.25" customHeight="1" x14ac:dyDescent="0.25">
      <c r="A29" s="21" t="s">
        <v>14</v>
      </c>
      <c r="B29" s="53">
        <f>'VertiPinturas Data Formats'!B10*'VertiPinturas Data Formats'!G25</f>
        <v>278.39999999999998</v>
      </c>
      <c r="C29" s="21">
        <f>'VertiPinturas Data Formats'!C10*'VertiPinturas Data Formats'!G26</f>
        <v>442.8</v>
      </c>
      <c r="D29" s="21">
        <f>'VertiPinturas Data Formats'!D10*'VertiPinturas Data Formats'!G27</f>
        <v>677.6</v>
      </c>
      <c r="E29" s="21">
        <f>'VertiPinturas Data Formats'!E10*'VertiPinturas Data Formats'!G28</f>
        <v>642.6</v>
      </c>
      <c r="F29" s="21">
        <f>'VertiPinturas Data Formats'!F10*'VertiPinturas Data Formats'!G29</f>
        <v>844.80000000000007</v>
      </c>
      <c r="G29" s="21">
        <f>'VertiPinturas Data Formats'!G10*'VertiPinturas Data Formats'!G30</f>
        <v>768</v>
      </c>
      <c r="H29" s="57">
        <v>104</v>
      </c>
    </row>
    <row r="30" spans="1:8" ht="14.25" customHeight="1" x14ac:dyDescent="0.25"/>
    <row r="31" spans="1:8" ht="14.25" customHeight="1" x14ac:dyDescent="0.25">
      <c r="A31" s="31"/>
      <c r="B31" s="32" t="s">
        <v>46</v>
      </c>
      <c r="C31" s="32" t="s">
        <v>47</v>
      </c>
      <c r="D31" s="32" t="s">
        <v>44</v>
      </c>
      <c r="E31" s="32" t="s">
        <v>48</v>
      </c>
      <c r="F31" s="33" t="s">
        <v>49</v>
      </c>
      <c r="G31" s="34" t="s">
        <v>50</v>
      </c>
      <c r="H31" s="34" t="s">
        <v>51</v>
      </c>
    </row>
    <row r="32" spans="1:8" ht="14.25" customHeight="1" x14ac:dyDescent="0.25">
      <c r="A32" s="21" t="s">
        <v>9</v>
      </c>
      <c r="B32" s="53">
        <f>'VertiPinturas Data Formats'!B5*'VertiPinturas Data Formats'!$B$38+'VertiPinturas Data Formats'!C5*'VertiPinturas Data Formats'!$C$38+'VertiPinturas Data Formats'!D5*'VertiPinturas Data Formats'!$D$38+'VertiPinturas Data Formats'!E5*'VertiPinturas Data Formats'!$E$38+'VertiPinturas Data Formats'!F5*'VertiPinturas Data Formats'!$F$38+'VertiPinturas Data Formats'!G5*'VertiPinturas Data Formats'!$G$38</f>
        <v>6960</v>
      </c>
      <c r="C32" s="22">
        <f>H4</f>
        <v>954.7</v>
      </c>
      <c r="D32" s="53">
        <f>SUM(B24:G24)</f>
        <v>2141.8000000000002</v>
      </c>
      <c r="E32" s="28">
        <f>H24</f>
        <v>75</v>
      </c>
      <c r="F32" s="28">
        <f>C32+D32+E32</f>
        <v>3171.5</v>
      </c>
      <c r="G32" s="56">
        <f>I4</f>
        <v>114.56400000000001</v>
      </c>
      <c r="H32" s="35">
        <f>B32-F32+G32</f>
        <v>3903.0639999999999</v>
      </c>
    </row>
    <row r="33" spans="1:8" ht="14.25" customHeight="1" x14ac:dyDescent="0.25">
      <c r="A33" s="21" t="s">
        <v>10</v>
      </c>
      <c r="B33" s="53">
        <f>'VertiPinturas Data Formats'!B6*'VertiPinturas Data Formats'!$B$38+'VertiPinturas Data Formats'!C6*'VertiPinturas Data Formats'!$C$38+'VertiPinturas Data Formats'!D6*'VertiPinturas Data Formats'!$D$38+'VertiPinturas Data Formats'!E6*'VertiPinturas Data Formats'!$E$38+'VertiPinturas Data Formats'!F6*'VertiPinturas Data Formats'!$F$38+'VertiPinturas Data Formats'!G6*'VertiPinturas Data Formats'!$G$38</f>
        <v>7529</v>
      </c>
      <c r="C33" s="22">
        <f t="shared" ref="C33:C37" si="9">H5</f>
        <v>1085.9999999999998</v>
      </c>
      <c r="D33" s="53">
        <f t="shared" ref="D33:D37" si="10">SUM(B25:G25)</f>
        <v>2937.8999999999996</v>
      </c>
      <c r="E33" s="28">
        <f t="shared" ref="E33:E37" si="11">H25</f>
        <v>91</v>
      </c>
      <c r="F33" s="28">
        <f t="shared" ref="F33:F37" si="12">C33+D33+E33</f>
        <v>4114.8999999999996</v>
      </c>
      <c r="G33" s="56">
        <f t="shared" ref="G33:G37" si="13">I5</f>
        <v>130.31999999999996</v>
      </c>
      <c r="H33" s="35">
        <f t="shared" ref="H33:H37" si="14">B33-F33+G33</f>
        <v>3544.4200000000005</v>
      </c>
    </row>
    <row r="34" spans="1:8" ht="14.25" customHeight="1" x14ac:dyDescent="0.25">
      <c r="A34" s="21" t="s">
        <v>11</v>
      </c>
      <c r="B34" s="53">
        <f>'VertiPinturas Data Formats'!B7*'VertiPinturas Data Formats'!$B$38+'VertiPinturas Data Formats'!C7*'VertiPinturas Data Formats'!$C$38+'VertiPinturas Data Formats'!D7*'VertiPinturas Data Formats'!$D$38+'VertiPinturas Data Formats'!E7*'VertiPinturas Data Formats'!$E$38+'VertiPinturas Data Formats'!F7*'VertiPinturas Data Formats'!$F$38+'VertiPinturas Data Formats'!G7*'VertiPinturas Data Formats'!$G$38</f>
        <v>6694</v>
      </c>
      <c r="C34" s="22">
        <f>H6</f>
        <v>946</v>
      </c>
      <c r="D34" s="53">
        <f t="shared" si="10"/>
        <v>2801.9000000000005</v>
      </c>
      <c r="E34" s="28">
        <f t="shared" si="11"/>
        <v>121</v>
      </c>
      <c r="F34" s="28">
        <f t="shared" si="12"/>
        <v>3868.9000000000005</v>
      </c>
      <c r="G34" s="56">
        <f t="shared" si="13"/>
        <v>113.52</v>
      </c>
      <c r="H34" s="35">
        <f t="shared" si="14"/>
        <v>2938.6199999999994</v>
      </c>
    </row>
    <row r="35" spans="1:8" ht="14.25" customHeight="1" x14ac:dyDescent="0.25">
      <c r="A35" s="21" t="s">
        <v>12</v>
      </c>
      <c r="B35" s="53">
        <f>'VertiPinturas Data Formats'!B8*'VertiPinturas Data Formats'!$B$38+'VertiPinturas Data Formats'!C8*'VertiPinturas Data Formats'!$C$38+'VertiPinturas Data Formats'!D8*'VertiPinturas Data Formats'!$D$38+'VertiPinturas Data Formats'!E8*'VertiPinturas Data Formats'!$E$38+'VertiPinturas Data Formats'!F8*'VertiPinturas Data Formats'!$F$38+'VertiPinturas Data Formats'!G8*'VertiPinturas Data Formats'!$G$38</f>
        <v>8360</v>
      </c>
      <c r="C35" s="22">
        <f t="shared" si="9"/>
        <v>1140</v>
      </c>
      <c r="D35" s="53">
        <f t="shared" si="10"/>
        <v>3874.8</v>
      </c>
      <c r="E35" s="28">
        <f t="shared" si="11"/>
        <v>68</v>
      </c>
      <c r="F35" s="28">
        <f t="shared" si="12"/>
        <v>5082.8</v>
      </c>
      <c r="G35" s="56">
        <f t="shared" si="13"/>
        <v>136.79999999999998</v>
      </c>
      <c r="H35" s="35">
        <f t="shared" si="14"/>
        <v>3414</v>
      </c>
    </row>
    <row r="36" spans="1:8" ht="14.25" customHeight="1" x14ac:dyDescent="0.25">
      <c r="A36" s="21" t="s">
        <v>13</v>
      </c>
      <c r="B36" s="53">
        <f>'VertiPinturas Data Formats'!B9*'VertiPinturas Data Formats'!$B$38+'VertiPinturas Data Formats'!C9*'VertiPinturas Data Formats'!$C$38+'VertiPinturas Data Formats'!D9*'VertiPinturas Data Formats'!$D$38+'VertiPinturas Data Formats'!E9*'VertiPinturas Data Formats'!$E$38+'VertiPinturas Data Formats'!F9*'VertiPinturas Data Formats'!$F$38+'VertiPinturas Data Formats'!G9*'VertiPinturas Data Formats'!$G$38</f>
        <v>8452</v>
      </c>
      <c r="C36" s="22">
        <f t="shared" si="9"/>
        <v>1172.5999999999999</v>
      </c>
      <c r="D36" s="53">
        <f t="shared" si="10"/>
        <v>4498.5</v>
      </c>
      <c r="E36" s="28">
        <f t="shared" si="11"/>
        <v>106</v>
      </c>
      <c r="F36" s="28">
        <f t="shared" si="12"/>
        <v>5777.1</v>
      </c>
      <c r="G36" s="56">
        <f t="shared" si="13"/>
        <v>140.71199999999999</v>
      </c>
      <c r="H36" s="35">
        <f t="shared" si="14"/>
        <v>2815.6119999999996</v>
      </c>
    </row>
    <row r="37" spans="1:8" ht="14.25" customHeight="1" x14ac:dyDescent="0.25">
      <c r="A37" s="21" t="s">
        <v>14</v>
      </c>
      <c r="B37" s="53">
        <f>'VertiPinturas Data Formats'!B10*'VertiPinturas Data Formats'!$B$38+'VertiPinturas Data Formats'!C10*'VertiPinturas Data Formats'!$C$38+'VertiPinturas Data Formats'!D10*'VertiPinturas Data Formats'!$D$38+'VertiPinturas Data Formats'!E10*'VertiPinturas Data Formats'!$E$38+'VertiPinturas Data Formats'!F10*'VertiPinturas Data Formats'!$F$38+'VertiPinturas Data Formats'!G10*'VertiPinturas Data Formats'!$G$38</f>
        <v>6304</v>
      </c>
      <c r="C37" s="22">
        <f t="shared" si="9"/>
        <v>867.99999999999989</v>
      </c>
      <c r="D37" s="53">
        <f t="shared" si="10"/>
        <v>3654.2000000000003</v>
      </c>
      <c r="E37" s="28">
        <f t="shared" si="11"/>
        <v>104</v>
      </c>
      <c r="F37" s="28">
        <f t="shared" si="12"/>
        <v>4626.2</v>
      </c>
      <c r="G37" s="56">
        <f t="shared" si="13"/>
        <v>69.44</v>
      </c>
      <c r="H37" s="35">
        <f t="shared" si="14"/>
        <v>1747.2400000000002</v>
      </c>
    </row>
    <row r="38" spans="1:8" ht="14.25" customHeight="1" x14ac:dyDescent="0.25"/>
    <row r="39" spans="1:8" ht="14.25" customHeight="1" x14ac:dyDescent="0.25"/>
    <row r="40" spans="1:8" ht="14.25" customHeight="1" x14ac:dyDescent="0.25"/>
    <row r="41" spans="1:8" ht="14.25" customHeight="1" x14ac:dyDescent="0.25"/>
    <row r="42" spans="1:8" ht="14.25" customHeight="1" x14ac:dyDescent="0.25"/>
    <row r="43" spans="1:8" ht="14.25" customHeight="1" x14ac:dyDescent="0.25"/>
    <row r="44" spans="1:8" ht="14.25" customHeight="1" x14ac:dyDescent="0.25"/>
    <row r="45" spans="1:8" ht="14.25" customHeight="1" x14ac:dyDescent="0.25"/>
    <row r="46" spans="1:8" ht="14.25" customHeight="1" x14ac:dyDescent="0.25"/>
    <row r="47" spans="1:8" ht="14.25" customHeight="1" x14ac:dyDescent="0.25"/>
    <row r="48" spans="1: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B2:I2"/>
    <mergeCell ref="A13:C13"/>
    <mergeCell ref="B22:G22"/>
    <mergeCell ref="H22:H2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H16" sqref="H16"/>
    </sheetView>
  </sheetViews>
  <sheetFormatPr defaultColWidth="14.42578125" defaultRowHeight="15" customHeight="1" x14ac:dyDescent="0.25"/>
  <cols>
    <col min="1" max="2" width="10.7109375" customWidth="1"/>
    <col min="3" max="3" width="14.28515625" customWidth="1"/>
    <col min="4" max="4" width="10.7109375" customWidth="1"/>
    <col min="5" max="5" width="19.7109375" customWidth="1"/>
    <col min="6" max="6" width="17.5703125" customWidth="1"/>
    <col min="7" max="8" width="10.7109375" customWidth="1"/>
    <col min="9" max="9" width="15.7109375" customWidth="1"/>
    <col min="10" max="26" width="10.7109375" customWidth="1"/>
  </cols>
  <sheetData>
    <row r="1" spans="1:10" ht="14.25" customHeight="1" x14ac:dyDescent="0.25">
      <c r="A1" s="36" t="s">
        <v>52</v>
      </c>
      <c r="B1" s="36" t="s">
        <v>53</v>
      </c>
      <c r="C1" s="36" t="s">
        <v>54</v>
      </c>
      <c r="D1" s="36" t="s">
        <v>55</v>
      </c>
      <c r="E1" s="36" t="s">
        <v>56</v>
      </c>
      <c r="F1" s="36" t="s">
        <v>57</v>
      </c>
      <c r="G1" s="36" t="s">
        <v>58</v>
      </c>
      <c r="H1" s="36" t="s">
        <v>59</v>
      </c>
      <c r="I1" s="37" t="s">
        <v>60</v>
      </c>
    </row>
    <row r="2" spans="1:10" ht="14.25" customHeight="1" x14ac:dyDescent="0.25">
      <c r="A2" s="17">
        <v>123</v>
      </c>
      <c r="B2" s="17" t="s">
        <v>61</v>
      </c>
      <c r="C2" s="17" t="s">
        <v>62</v>
      </c>
      <c r="D2" s="17" t="s">
        <v>63</v>
      </c>
      <c r="E2" s="17" t="s">
        <v>64</v>
      </c>
      <c r="F2" s="38">
        <v>27508</v>
      </c>
      <c r="G2" s="17">
        <v>1800</v>
      </c>
      <c r="H2" s="39">
        <v>26.394520547945206</v>
      </c>
      <c r="I2" s="39">
        <v>49.394520547945206</v>
      </c>
      <c r="J2" s="39"/>
    </row>
    <row r="3" spans="1:10" ht="14.25" customHeight="1" x14ac:dyDescent="0.25">
      <c r="A3" s="17">
        <v>234</v>
      </c>
      <c r="B3" s="17" t="s">
        <v>65</v>
      </c>
      <c r="C3" s="17" t="s">
        <v>66</v>
      </c>
      <c r="D3" s="17" t="s">
        <v>63</v>
      </c>
      <c r="E3" s="17" t="s">
        <v>64</v>
      </c>
      <c r="F3" s="38">
        <v>32609</v>
      </c>
      <c r="G3" s="17">
        <v>1350</v>
      </c>
      <c r="H3" s="39">
        <v>12.419178082191777</v>
      </c>
      <c r="I3" s="39">
        <v>35.419178082191777</v>
      </c>
      <c r="J3" s="39"/>
    </row>
    <row r="4" spans="1:10" ht="14.25" customHeight="1" x14ac:dyDescent="0.25">
      <c r="A4" s="17">
        <v>56</v>
      </c>
      <c r="B4" s="17" t="s">
        <v>67</v>
      </c>
      <c r="C4" s="17" t="s">
        <v>68</v>
      </c>
      <c r="D4" s="17" t="s">
        <v>63</v>
      </c>
      <c r="E4" s="17" t="s">
        <v>64</v>
      </c>
      <c r="F4" s="38">
        <v>35608</v>
      </c>
      <c r="G4" s="17">
        <v>1670</v>
      </c>
      <c r="H4" s="39">
        <v>4.2027397260273958</v>
      </c>
      <c r="I4" s="39">
        <v>27.202739726027396</v>
      </c>
      <c r="J4" s="39"/>
    </row>
    <row r="5" spans="1:10" ht="14.25" customHeight="1" x14ac:dyDescent="0.25">
      <c r="A5" s="17">
        <v>23</v>
      </c>
      <c r="B5" s="17" t="s">
        <v>69</v>
      </c>
      <c r="C5" s="17" t="s">
        <v>70</v>
      </c>
      <c r="D5" s="17" t="s">
        <v>63</v>
      </c>
      <c r="E5" s="17" t="s">
        <v>64</v>
      </c>
      <c r="F5" s="38">
        <v>25133</v>
      </c>
      <c r="G5" s="17">
        <v>1340</v>
      </c>
      <c r="H5" s="39">
        <v>32.901369863013699</v>
      </c>
      <c r="I5" s="39">
        <v>55.901369863013699</v>
      </c>
      <c r="J5" s="39"/>
    </row>
    <row r="6" spans="1:10" ht="14.25" customHeight="1" x14ac:dyDescent="0.25">
      <c r="A6" s="17">
        <v>15</v>
      </c>
      <c r="B6" s="17" t="s">
        <v>71</v>
      </c>
      <c r="C6" s="17" t="s">
        <v>72</v>
      </c>
      <c r="D6" s="17" t="s">
        <v>73</v>
      </c>
      <c r="E6" s="17" t="s">
        <v>64</v>
      </c>
      <c r="F6" s="38">
        <v>24577</v>
      </c>
      <c r="G6" s="17">
        <v>1111</v>
      </c>
      <c r="H6" s="39">
        <v>34.424657534246577</v>
      </c>
      <c r="I6" s="39">
        <v>57.424657534246577</v>
      </c>
      <c r="J6" s="39"/>
    </row>
    <row r="7" spans="1:10" ht="14.25" customHeight="1" x14ac:dyDescent="0.25">
      <c r="A7" s="17">
        <v>43</v>
      </c>
      <c r="B7" s="17" t="s">
        <v>74</v>
      </c>
      <c r="C7" s="17" t="s">
        <v>75</v>
      </c>
      <c r="D7" s="17" t="s">
        <v>73</v>
      </c>
      <c r="E7" s="17" t="s">
        <v>64</v>
      </c>
      <c r="F7" s="38">
        <v>34787</v>
      </c>
      <c r="G7" s="17">
        <v>1250</v>
      </c>
      <c r="H7" s="39">
        <v>6.4520547945205493</v>
      </c>
      <c r="I7" s="39">
        <v>29.452054794520549</v>
      </c>
      <c r="J7" s="39"/>
    </row>
    <row r="8" spans="1:10" ht="14.25" customHeight="1" x14ac:dyDescent="0.25">
      <c r="A8" s="17">
        <v>567</v>
      </c>
      <c r="B8" s="17" t="s">
        <v>76</v>
      </c>
      <c r="C8" s="17" t="s">
        <v>77</v>
      </c>
      <c r="D8" s="17" t="s">
        <v>73</v>
      </c>
      <c r="E8" s="17" t="s">
        <v>64</v>
      </c>
      <c r="F8" s="38">
        <v>36276</v>
      </c>
      <c r="G8" s="17">
        <v>1455</v>
      </c>
      <c r="H8" s="39">
        <v>2.3726027397260268</v>
      </c>
      <c r="I8" s="39">
        <v>25.372602739726027</v>
      </c>
      <c r="J8" s="39"/>
    </row>
    <row r="9" spans="1:10" ht="14.25" customHeight="1" x14ac:dyDescent="0.25">
      <c r="A9" s="17">
        <v>76</v>
      </c>
      <c r="B9" s="17" t="s">
        <v>78</v>
      </c>
      <c r="C9" s="17" t="s">
        <v>79</v>
      </c>
      <c r="D9" s="17" t="s">
        <v>63</v>
      </c>
      <c r="E9" s="17" t="s">
        <v>64</v>
      </c>
      <c r="F9" s="38">
        <v>29688</v>
      </c>
      <c r="G9" s="17">
        <v>1670</v>
      </c>
      <c r="H9" s="39">
        <v>20.421917808219177</v>
      </c>
      <c r="I9" s="39">
        <v>43.421917808219177</v>
      </c>
      <c r="J9" s="39"/>
    </row>
    <row r="10" spans="1:10" ht="14.25" customHeight="1" x14ac:dyDescent="0.25">
      <c r="A10" s="17">
        <v>65</v>
      </c>
      <c r="B10" s="17" t="s">
        <v>80</v>
      </c>
      <c r="C10" s="17" t="s">
        <v>81</v>
      </c>
      <c r="D10" s="17" t="s">
        <v>63</v>
      </c>
      <c r="E10" s="17" t="s">
        <v>64</v>
      </c>
      <c r="F10" s="38">
        <v>29677</v>
      </c>
      <c r="G10" s="17">
        <v>2200</v>
      </c>
      <c r="H10" s="39">
        <v>20.452054794520549</v>
      </c>
      <c r="I10" s="39">
        <v>43.452054794520549</v>
      </c>
      <c r="J10" s="39"/>
    </row>
    <row r="11" spans="1:10" ht="14.25" customHeight="1" x14ac:dyDescent="0.25">
      <c r="A11" s="17">
        <v>77</v>
      </c>
      <c r="B11" s="17" t="s">
        <v>82</v>
      </c>
      <c r="C11" s="17" t="s">
        <v>83</v>
      </c>
      <c r="D11" s="17" t="s">
        <v>73</v>
      </c>
      <c r="E11" s="17" t="s">
        <v>64</v>
      </c>
      <c r="F11" s="38">
        <v>29768</v>
      </c>
      <c r="G11" s="17">
        <v>2300</v>
      </c>
      <c r="H11" s="39">
        <v>20.202739726027396</v>
      </c>
      <c r="I11" s="39">
        <v>43.202739726027396</v>
      </c>
      <c r="J11" s="39"/>
    </row>
    <row r="12" spans="1:10" ht="14.25" customHeight="1" x14ac:dyDescent="0.25">
      <c r="A12" s="17">
        <v>70</v>
      </c>
      <c r="B12" s="17" t="s">
        <v>84</v>
      </c>
      <c r="C12" s="17" t="s">
        <v>85</v>
      </c>
      <c r="D12" s="17" t="s">
        <v>73</v>
      </c>
      <c r="E12" s="17" t="s">
        <v>64</v>
      </c>
      <c r="F12" s="38">
        <v>24638</v>
      </c>
      <c r="G12" s="17">
        <v>2600</v>
      </c>
      <c r="H12" s="39">
        <v>34.257534246575339</v>
      </c>
      <c r="I12" s="39">
        <v>57.257534246575339</v>
      </c>
      <c r="J12" s="39"/>
    </row>
    <row r="13" spans="1:10" ht="14.25" customHeight="1" x14ac:dyDescent="0.25">
      <c r="A13" s="17">
        <v>90</v>
      </c>
      <c r="B13" s="17" t="s">
        <v>86</v>
      </c>
      <c r="C13" s="17" t="s">
        <v>87</v>
      </c>
      <c r="D13" s="17" t="s">
        <v>73</v>
      </c>
      <c r="E13" s="17" t="s">
        <v>64</v>
      </c>
      <c r="F13" s="38">
        <v>32624</v>
      </c>
      <c r="G13" s="17">
        <v>2200</v>
      </c>
      <c r="H13" s="39">
        <v>12.37808219178082</v>
      </c>
      <c r="I13" s="39">
        <v>35.37808219178082</v>
      </c>
      <c r="J13" s="39"/>
    </row>
    <row r="14" spans="1:10" ht="14.25" customHeight="1" x14ac:dyDescent="0.25">
      <c r="A14" s="17">
        <v>111</v>
      </c>
      <c r="B14" s="17" t="s">
        <v>88</v>
      </c>
      <c r="C14" s="17" t="s">
        <v>89</v>
      </c>
      <c r="D14" s="17" t="s">
        <v>63</v>
      </c>
      <c r="E14" s="17" t="s">
        <v>90</v>
      </c>
      <c r="F14" s="38">
        <v>32248</v>
      </c>
      <c r="G14" s="17">
        <v>2700</v>
      </c>
      <c r="H14" s="39">
        <v>13.408219178082192</v>
      </c>
      <c r="I14" s="39">
        <v>36.408219178082192</v>
      </c>
      <c r="J14" s="39"/>
    </row>
    <row r="15" spans="1:10" ht="14.25" customHeight="1" x14ac:dyDescent="0.25">
      <c r="A15" s="17">
        <v>78</v>
      </c>
      <c r="B15" s="17" t="s">
        <v>91</v>
      </c>
      <c r="C15" s="17" t="s">
        <v>92</v>
      </c>
      <c r="D15" s="17" t="s">
        <v>73</v>
      </c>
      <c r="E15" s="17" t="s">
        <v>90</v>
      </c>
      <c r="F15" s="38">
        <v>35608</v>
      </c>
      <c r="G15" s="17">
        <v>3100</v>
      </c>
      <c r="H15" s="39">
        <v>4.2027397260273958</v>
      </c>
      <c r="I15" s="39">
        <v>27.202739726027396</v>
      </c>
      <c r="J15" s="39"/>
    </row>
    <row r="16" spans="1:10" ht="14.25" customHeight="1" x14ac:dyDescent="0.25">
      <c r="A16" s="17">
        <v>56</v>
      </c>
      <c r="B16" s="17" t="s">
        <v>93</v>
      </c>
      <c r="C16" s="17" t="s">
        <v>94</v>
      </c>
      <c r="D16" s="17" t="s">
        <v>63</v>
      </c>
      <c r="E16" s="17" t="s">
        <v>90</v>
      </c>
      <c r="F16" s="38">
        <v>24720</v>
      </c>
      <c r="G16" s="17">
        <v>2800</v>
      </c>
      <c r="H16" s="39">
        <v>34.032876712328765</v>
      </c>
      <c r="I16" s="39">
        <v>57.032876712328765</v>
      </c>
      <c r="J16" s="39"/>
    </row>
    <row r="17" spans="1:10" ht="14.25" customHeight="1" x14ac:dyDescent="0.25">
      <c r="A17" s="17">
        <v>75</v>
      </c>
      <c r="B17" s="17" t="s">
        <v>95</v>
      </c>
      <c r="C17" s="17" t="s">
        <v>96</v>
      </c>
      <c r="D17" s="17" t="s">
        <v>63</v>
      </c>
      <c r="E17" s="17" t="s">
        <v>90</v>
      </c>
      <c r="F17" s="38">
        <v>32553</v>
      </c>
      <c r="G17" s="17">
        <v>2700</v>
      </c>
      <c r="H17" s="39">
        <v>12.57260273972603</v>
      </c>
      <c r="I17" s="39">
        <v>35.57260273972603</v>
      </c>
      <c r="J17" s="39"/>
    </row>
    <row r="18" spans="1:10" ht="14.25" customHeight="1" x14ac:dyDescent="0.25">
      <c r="A18" s="17">
        <v>80</v>
      </c>
      <c r="B18" s="17" t="s">
        <v>97</v>
      </c>
      <c r="C18" s="17" t="s">
        <v>98</v>
      </c>
      <c r="D18" s="17" t="s">
        <v>63</v>
      </c>
      <c r="E18" s="17" t="s">
        <v>90</v>
      </c>
      <c r="F18" s="38">
        <v>31718</v>
      </c>
      <c r="G18" s="17">
        <v>2400</v>
      </c>
      <c r="H18" s="39">
        <v>14.860273972602741</v>
      </c>
      <c r="I18" s="39">
        <v>37.860273972602741</v>
      </c>
      <c r="J18" s="39"/>
    </row>
    <row r="19" spans="1:10" ht="14.25" customHeight="1" x14ac:dyDescent="0.25">
      <c r="A19" s="17">
        <v>50</v>
      </c>
      <c r="B19" s="17" t="s">
        <v>99</v>
      </c>
      <c r="C19" s="17" t="s">
        <v>100</v>
      </c>
      <c r="D19" s="17" t="s">
        <v>63</v>
      </c>
      <c r="E19" s="17" t="s">
        <v>101</v>
      </c>
      <c r="F19" s="38">
        <v>28625</v>
      </c>
      <c r="G19" s="17">
        <v>2800</v>
      </c>
      <c r="H19" s="39">
        <v>23.334246575342469</v>
      </c>
      <c r="I19" s="39">
        <v>46.334246575342469</v>
      </c>
      <c r="J19" s="39"/>
    </row>
    <row r="20" spans="1:10" ht="14.25" customHeight="1" x14ac:dyDescent="0.25">
      <c r="A20" s="17">
        <v>110</v>
      </c>
      <c r="B20" s="17" t="s">
        <v>102</v>
      </c>
      <c r="C20" s="17" t="s">
        <v>103</v>
      </c>
      <c r="D20" s="17" t="s">
        <v>73</v>
      </c>
      <c r="E20" s="17" t="s">
        <v>101</v>
      </c>
      <c r="F20" s="38">
        <v>22104</v>
      </c>
      <c r="G20" s="17">
        <v>3200</v>
      </c>
      <c r="H20" s="39">
        <v>41.2</v>
      </c>
      <c r="I20" s="39">
        <v>64.2</v>
      </c>
      <c r="J20" s="39"/>
    </row>
    <row r="21" spans="1:10" ht="14.25" customHeight="1" x14ac:dyDescent="0.25">
      <c r="A21" s="17">
        <v>432</v>
      </c>
      <c r="B21" s="17" t="s">
        <v>104</v>
      </c>
      <c r="C21" s="17" t="s">
        <v>105</v>
      </c>
      <c r="D21" s="17" t="s">
        <v>73</v>
      </c>
      <c r="E21" s="17" t="s">
        <v>101</v>
      </c>
      <c r="F21" s="38">
        <v>29902</v>
      </c>
      <c r="G21" s="17">
        <v>3100</v>
      </c>
      <c r="H21" s="39">
        <v>19.835616438356162</v>
      </c>
      <c r="I21" s="39">
        <v>42.835616438356162</v>
      </c>
      <c r="J21" s="39"/>
    </row>
    <row r="22" spans="1:10" ht="14.25" customHeight="1" x14ac:dyDescent="0.25">
      <c r="A22" s="17">
        <v>33</v>
      </c>
      <c r="B22" s="17" t="s">
        <v>106</v>
      </c>
      <c r="C22" s="17" t="s">
        <v>107</v>
      </c>
      <c r="D22" s="17" t="s">
        <v>73</v>
      </c>
      <c r="E22" s="17" t="s">
        <v>101</v>
      </c>
      <c r="F22" s="38">
        <v>36276</v>
      </c>
      <c r="G22" s="17">
        <v>3400</v>
      </c>
      <c r="H22" s="39">
        <v>2.3726027397260268</v>
      </c>
      <c r="I22" s="39">
        <v>25.372602739726027</v>
      </c>
      <c r="J22" s="39"/>
    </row>
    <row r="23" spans="1:10" ht="14.25" customHeight="1" x14ac:dyDescent="0.25">
      <c r="A23" s="17">
        <v>46</v>
      </c>
      <c r="B23" s="17" t="s">
        <v>108</v>
      </c>
      <c r="C23" s="17" t="s">
        <v>109</v>
      </c>
      <c r="D23" s="17" t="s">
        <v>73</v>
      </c>
      <c r="E23" s="17" t="s">
        <v>101</v>
      </c>
      <c r="F23" s="38">
        <v>25142</v>
      </c>
      <c r="G23" s="17">
        <v>3500</v>
      </c>
      <c r="H23" s="39">
        <v>32.876712328767127</v>
      </c>
      <c r="I23" s="39">
        <v>55.876712328767127</v>
      </c>
      <c r="J23" s="39"/>
    </row>
    <row r="24" spans="1:10" ht="14.25" customHeight="1" x14ac:dyDescent="0.25">
      <c r="A24" s="17">
        <v>321</v>
      </c>
      <c r="B24" s="17" t="s">
        <v>110</v>
      </c>
      <c r="C24" s="17" t="s">
        <v>111</v>
      </c>
      <c r="D24" s="17" t="s">
        <v>73</v>
      </c>
      <c r="E24" s="17" t="s">
        <v>101</v>
      </c>
      <c r="F24" s="38">
        <v>32184</v>
      </c>
      <c r="G24" s="17">
        <v>3600</v>
      </c>
      <c r="H24" s="39">
        <v>13.583561643835615</v>
      </c>
      <c r="I24" s="39">
        <v>36.583561643835615</v>
      </c>
      <c r="J24" s="39"/>
    </row>
    <row r="25" spans="1:10" ht="14.25" customHeight="1" x14ac:dyDescent="0.25">
      <c r="A25" s="17">
        <v>88</v>
      </c>
      <c r="B25" s="17" t="s">
        <v>112</v>
      </c>
      <c r="C25" s="17" t="s">
        <v>113</v>
      </c>
      <c r="D25" s="17" t="s">
        <v>63</v>
      </c>
      <c r="E25" s="17" t="s">
        <v>101</v>
      </c>
      <c r="F25" s="38">
        <v>28303</v>
      </c>
      <c r="G25" s="17">
        <v>2900</v>
      </c>
      <c r="H25" s="39">
        <v>24.216438356164382</v>
      </c>
      <c r="I25" s="39">
        <v>47.216438356164382</v>
      </c>
      <c r="J25" s="39"/>
    </row>
    <row r="26" spans="1:10" ht="14.25" customHeight="1" x14ac:dyDescent="0.25">
      <c r="A26" s="17">
        <v>45</v>
      </c>
      <c r="B26" s="17" t="s">
        <v>114</v>
      </c>
      <c r="C26" s="17" t="s">
        <v>115</v>
      </c>
      <c r="D26" s="17" t="s">
        <v>73</v>
      </c>
      <c r="E26" s="17" t="s">
        <v>116</v>
      </c>
      <c r="F26" s="38">
        <v>29566</v>
      </c>
      <c r="G26" s="17">
        <v>2500</v>
      </c>
      <c r="H26" s="39">
        <v>20.756164383561647</v>
      </c>
      <c r="I26" s="39">
        <v>43.756164383561647</v>
      </c>
      <c r="J26" s="39"/>
    </row>
    <row r="27" spans="1:10" ht="14.25" customHeight="1" x14ac:dyDescent="0.25">
      <c r="A27" s="17">
        <v>32</v>
      </c>
      <c r="B27" s="17" t="s">
        <v>117</v>
      </c>
      <c r="C27" s="17" t="s">
        <v>118</v>
      </c>
      <c r="D27" s="17" t="s">
        <v>63</v>
      </c>
      <c r="E27" s="17" t="s">
        <v>116</v>
      </c>
      <c r="F27" s="38">
        <v>30508</v>
      </c>
      <c r="G27" s="17">
        <v>2450</v>
      </c>
      <c r="H27" s="39">
        <v>18.175342465753424</v>
      </c>
      <c r="I27" s="39">
        <v>41.175342465753424</v>
      </c>
      <c r="J27" s="39"/>
    </row>
    <row r="28" spans="1:10" ht="14.25" customHeight="1" x14ac:dyDescent="0.25">
      <c r="A28" s="17">
        <v>506</v>
      </c>
      <c r="B28" s="17" t="s">
        <v>119</v>
      </c>
      <c r="C28" s="17" t="s">
        <v>120</v>
      </c>
      <c r="D28" s="17" t="s">
        <v>73</v>
      </c>
      <c r="E28" s="17" t="s">
        <v>116</v>
      </c>
      <c r="F28" s="38">
        <v>26329</v>
      </c>
      <c r="G28" s="17">
        <v>2623</v>
      </c>
      <c r="H28" s="39">
        <v>29.624657534246573</v>
      </c>
      <c r="I28" s="39">
        <v>52.624657534246573</v>
      </c>
      <c r="J28" s="39"/>
    </row>
    <row r="29" spans="1:10" ht="14.25" customHeight="1" x14ac:dyDescent="0.25">
      <c r="A29" s="17">
        <v>324</v>
      </c>
      <c r="B29" s="17" t="s">
        <v>121</v>
      </c>
      <c r="C29" s="17" t="s">
        <v>122</v>
      </c>
      <c r="D29" s="17" t="s">
        <v>63</v>
      </c>
      <c r="E29" s="17" t="s">
        <v>116</v>
      </c>
      <c r="F29" s="38">
        <v>34773</v>
      </c>
      <c r="G29" s="17">
        <v>2654</v>
      </c>
      <c r="H29" s="39">
        <v>6.4904109589041106</v>
      </c>
      <c r="I29" s="39">
        <v>29.490410958904111</v>
      </c>
      <c r="J29" s="39"/>
    </row>
    <row r="30" spans="1:10" ht="14.25" customHeight="1" x14ac:dyDescent="0.25">
      <c r="A30" s="17">
        <v>122</v>
      </c>
      <c r="B30" s="17" t="s">
        <v>123</v>
      </c>
      <c r="C30" s="17" t="s">
        <v>124</v>
      </c>
      <c r="D30" s="17" t="s">
        <v>63</v>
      </c>
      <c r="E30" s="17" t="s">
        <v>116</v>
      </c>
      <c r="F30" s="38">
        <v>25133</v>
      </c>
      <c r="G30" s="17">
        <v>2467</v>
      </c>
      <c r="H30" s="39">
        <v>32.901369863013699</v>
      </c>
      <c r="I30" s="39">
        <v>55.901369863013699</v>
      </c>
      <c r="J30" s="39"/>
    </row>
    <row r="31" spans="1:10" ht="14.25" customHeight="1" x14ac:dyDescent="0.25">
      <c r="A31" s="17">
        <v>55</v>
      </c>
      <c r="B31" s="17" t="s">
        <v>125</v>
      </c>
      <c r="C31" s="17" t="s">
        <v>126</v>
      </c>
      <c r="D31" s="17" t="s">
        <v>73</v>
      </c>
      <c r="E31" s="17" t="s">
        <v>116</v>
      </c>
      <c r="F31" s="38">
        <v>29677</v>
      </c>
      <c r="G31" s="17">
        <v>2333</v>
      </c>
      <c r="H31" s="39">
        <v>20.452054794520549</v>
      </c>
      <c r="I31" s="39">
        <v>43.452054794520549</v>
      </c>
      <c r="J31" s="39"/>
    </row>
    <row r="32" spans="1:10" ht="14.25" customHeight="1" x14ac:dyDescent="0.25">
      <c r="A32" s="17">
        <v>22</v>
      </c>
      <c r="B32" s="17" t="s">
        <v>127</v>
      </c>
      <c r="C32" s="17" t="s">
        <v>128</v>
      </c>
      <c r="D32" s="17" t="s">
        <v>73</v>
      </c>
      <c r="E32" s="17" t="s">
        <v>116</v>
      </c>
      <c r="F32" s="38">
        <v>32553</v>
      </c>
      <c r="G32" s="17">
        <v>2000</v>
      </c>
      <c r="H32" s="39">
        <v>12.57260273972603</v>
      </c>
      <c r="I32" s="39">
        <v>35.57260273972603</v>
      </c>
      <c r="J32" s="39"/>
    </row>
    <row r="33" spans="1:10" ht="14.25" customHeight="1" x14ac:dyDescent="0.25">
      <c r="A33" s="17">
        <v>100</v>
      </c>
      <c r="B33" s="17" t="s">
        <v>129</v>
      </c>
      <c r="C33" s="17" t="s">
        <v>130</v>
      </c>
      <c r="D33" s="17" t="s">
        <v>63</v>
      </c>
      <c r="E33" s="17" t="s">
        <v>116</v>
      </c>
      <c r="F33" s="38">
        <v>31718</v>
      </c>
      <c r="G33" s="17">
        <v>2500</v>
      </c>
      <c r="H33" s="39">
        <v>14.860273972602741</v>
      </c>
      <c r="I33" s="39">
        <v>37.860273972602741</v>
      </c>
      <c r="J33" s="39"/>
    </row>
    <row r="34" spans="1:10" ht="14.25" customHeight="1" x14ac:dyDescent="0.25">
      <c r="A34" s="17">
        <v>92</v>
      </c>
      <c r="B34" s="17" t="s">
        <v>131</v>
      </c>
      <c r="C34" s="17" t="s">
        <v>132</v>
      </c>
      <c r="D34" s="17" t="s">
        <v>63</v>
      </c>
      <c r="E34" s="17" t="s">
        <v>116</v>
      </c>
      <c r="F34" s="38">
        <v>31922</v>
      </c>
      <c r="G34" s="17">
        <v>2450</v>
      </c>
      <c r="H34" s="39">
        <v>14.301369863013697</v>
      </c>
      <c r="I34" s="39">
        <v>37.301369863013697</v>
      </c>
      <c r="J34" s="39"/>
    </row>
    <row r="35" spans="1:10" ht="14.25" customHeight="1" x14ac:dyDescent="0.25">
      <c r="A35" s="17">
        <v>17</v>
      </c>
      <c r="B35" s="17" t="s">
        <v>133</v>
      </c>
      <c r="C35" s="17" t="s">
        <v>134</v>
      </c>
      <c r="D35" s="17" t="s">
        <v>73</v>
      </c>
      <c r="E35" s="17" t="s">
        <v>116</v>
      </c>
      <c r="F35" s="38">
        <v>32248</v>
      </c>
      <c r="G35" s="17">
        <v>2623</v>
      </c>
      <c r="H35" s="39">
        <v>13.408219178082192</v>
      </c>
      <c r="I35" s="39">
        <v>36.408219178082192</v>
      </c>
      <c r="J35" s="39"/>
    </row>
    <row r="36" spans="1:10" ht="14.25" customHeight="1" x14ac:dyDescent="0.25">
      <c r="A36" s="17">
        <v>60</v>
      </c>
      <c r="B36" s="17" t="s">
        <v>135</v>
      </c>
      <c r="C36" s="17" t="s">
        <v>136</v>
      </c>
      <c r="D36" s="17" t="s">
        <v>63</v>
      </c>
      <c r="E36" s="17" t="s">
        <v>116</v>
      </c>
      <c r="F36" s="38">
        <v>29932</v>
      </c>
      <c r="G36" s="17">
        <v>2654</v>
      </c>
      <c r="H36" s="39">
        <v>19.753424657534246</v>
      </c>
      <c r="I36" s="39">
        <v>42.753424657534246</v>
      </c>
      <c r="J36" s="39"/>
    </row>
    <row r="37" spans="1:10" ht="14.25" customHeight="1" x14ac:dyDescent="0.25">
      <c r="A37" s="17">
        <v>95</v>
      </c>
      <c r="B37" s="17" t="s">
        <v>137</v>
      </c>
      <c r="C37" s="17" t="s">
        <v>138</v>
      </c>
      <c r="D37" s="17" t="s">
        <v>63</v>
      </c>
      <c r="E37" s="17" t="s">
        <v>116</v>
      </c>
      <c r="F37" s="38">
        <v>31138</v>
      </c>
      <c r="G37" s="17">
        <v>2467</v>
      </c>
      <c r="H37" s="39">
        <v>16.449315068493149</v>
      </c>
      <c r="I37" s="39">
        <v>39.449315068493149</v>
      </c>
      <c r="J37" s="39"/>
    </row>
    <row r="38" spans="1:10" ht="14.25" customHeight="1" x14ac:dyDescent="0.25">
      <c r="A38" s="17">
        <v>5</v>
      </c>
      <c r="B38" s="17" t="s">
        <v>139</v>
      </c>
      <c r="C38" s="17" t="s">
        <v>140</v>
      </c>
      <c r="D38" s="17" t="s">
        <v>63</v>
      </c>
      <c r="E38" s="17" t="s">
        <v>116</v>
      </c>
      <c r="F38" s="38">
        <v>25133</v>
      </c>
      <c r="G38" s="17">
        <v>2333</v>
      </c>
      <c r="H38" s="39">
        <v>32.901369863013699</v>
      </c>
      <c r="I38" s="39">
        <v>55.901369863013699</v>
      </c>
      <c r="J38" s="39"/>
    </row>
    <row r="39" spans="1:10" ht="14.25" customHeight="1" x14ac:dyDescent="0.25">
      <c r="A39" s="17">
        <v>54</v>
      </c>
      <c r="B39" s="17" t="s">
        <v>141</v>
      </c>
      <c r="C39" s="17" t="s">
        <v>142</v>
      </c>
      <c r="D39" s="17" t="s">
        <v>63</v>
      </c>
      <c r="E39" s="17" t="s">
        <v>116</v>
      </c>
      <c r="F39" s="38">
        <v>24821</v>
      </c>
      <c r="G39" s="17">
        <v>2000</v>
      </c>
      <c r="H39" s="39">
        <v>33.756164383561647</v>
      </c>
      <c r="I39" s="39">
        <v>56.756164383561647</v>
      </c>
      <c r="J39" s="39"/>
    </row>
    <row r="40" spans="1:10" ht="14.25" customHeight="1" x14ac:dyDescent="0.25">
      <c r="A40" s="17">
        <v>320</v>
      </c>
      <c r="B40" s="17" t="s">
        <v>143</v>
      </c>
      <c r="C40" s="17" t="s">
        <v>144</v>
      </c>
      <c r="D40" s="17" t="s">
        <v>63</v>
      </c>
      <c r="E40" s="17" t="s">
        <v>116</v>
      </c>
      <c r="F40" s="38">
        <v>32553</v>
      </c>
      <c r="G40" s="17">
        <v>2500</v>
      </c>
      <c r="H40" s="39">
        <v>12.57260273972603</v>
      </c>
      <c r="I40" s="39">
        <v>35.57260273972603</v>
      </c>
      <c r="J40" s="39"/>
    </row>
    <row r="41" spans="1:10" ht="14.25" customHeight="1" x14ac:dyDescent="0.25">
      <c r="A41" s="17">
        <v>126</v>
      </c>
      <c r="B41" s="17" t="s">
        <v>145</v>
      </c>
      <c r="C41" s="17" t="s">
        <v>146</v>
      </c>
      <c r="D41" s="17" t="s">
        <v>63</v>
      </c>
      <c r="E41" s="17" t="s">
        <v>116</v>
      </c>
      <c r="F41" s="38">
        <v>31718</v>
      </c>
      <c r="G41" s="17">
        <v>2450</v>
      </c>
      <c r="H41" s="39">
        <v>14.860273972602741</v>
      </c>
      <c r="I41" s="39">
        <v>37.860273972602741</v>
      </c>
      <c r="J41" s="39"/>
    </row>
    <row r="42" spans="1:10" ht="14.25" customHeight="1" x14ac:dyDescent="0.25">
      <c r="A42" s="17">
        <v>276</v>
      </c>
      <c r="B42" s="17" t="s">
        <v>147</v>
      </c>
      <c r="C42" s="17" t="s">
        <v>148</v>
      </c>
      <c r="D42" s="17" t="s">
        <v>63</v>
      </c>
      <c r="E42" s="17" t="s">
        <v>116</v>
      </c>
      <c r="F42" s="38">
        <v>31922</v>
      </c>
      <c r="G42" s="17">
        <v>2623</v>
      </c>
      <c r="H42" s="39">
        <v>14.301369863013697</v>
      </c>
      <c r="I42" s="39">
        <v>37.301369863013697</v>
      </c>
      <c r="J42" s="39"/>
    </row>
    <row r="43" spans="1:10" ht="14.25" customHeight="1" x14ac:dyDescent="0.25">
      <c r="A43" s="17">
        <v>87</v>
      </c>
      <c r="B43" s="17" t="s">
        <v>149</v>
      </c>
      <c r="C43" s="17" t="s">
        <v>150</v>
      </c>
      <c r="D43" s="17" t="s">
        <v>63</v>
      </c>
      <c r="E43" s="17" t="s">
        <v>116</v>
      </c>
      <c r="F43" s="38">
        <v>35608</v>
      </c>
      <c r="G43" s="17">
        <v>2654</v>
      </c>
      <c r="H43" s="39">
        <v>4.2027397260273958</v>
      </c>
      <c r="I43" s="39">
        <v>27.202739726027396</v>
      </c>
      <c r="J43" s="39"/>
    </row>
    <row r="44" spans="1:10" ht="14.25" customHeight="1" x14ac:dyDescent="0.25">
      <c r="A44" s="17">
        <v>98</v>
      </c>
      <c r="B44" s="17" t="s">
        <v>151</v>
      </c>
      <c r="C44" s="17" t="s">
        <v>152</v>
      </c>
      <c r="D44" s="17" t="s">
        <v>63</v>
      </c>
      <c r="E44" s="17" t="s">
        <v>116</v>
      </c>
      <c r="F44" s="38">
        <v>25133</v>
      </c>
      <c r="G44" s="17">
        <v>2398</v>
      </c>
      <c r="H44" s="39">
        <v>32.901369863013699</v>
      </c>
      <c r="I44" s="39">
        <v>55.901369863013699</v>
      </c>
      <c r="J44" s="39"/>
    </row>
    <row r="45" spans="1:10" ht="14.25" customHeight="1" x14ac:dyDescent="0.25">
      <c r="A45" s="17">
        <v>34</v>
      </c>
      <c r="B45" s="17" t="s">
        <v>153</v>
      </c>
      <c r="C45" s="17" t="s">
        <v>154</v>
      </c>
      <c r="D45" s="17" t="s">
        <v>73</v>
      </c>
      <c r="E45" s="17" t="s">
        <v>116</v>
      </c>
      <c r="F45" s="38">
        <v>32553</v>
      </c>
      <c r="G45" s="17">
        <v>2234</v>
      </c>
      <c r="H45" s="39">
        <v>12.57260273972603</v>
      </c>
      <c r="I45" s="39">
        <v>35.57260273972603</v>
      </c>
      <c r="J45" s="39"/>
    </row>
    <row r="46" spans="1:10" ht="14.25" customHeight="1" x14ac:dyDescent="0.25">
      <c r="A46" s="17">
        <v>26</v>
      </c>
      <c r="B46" s="17" t="s">
        <v>155</v>
      </c>
      <c r="C46" s="17" t="s">
        <v>156</v>
      </c>
      <c r="D46" s="17" t="s">
        <v>73</v>
      </c>
      <c r="E46" s="17" t="s">
        <v>116</v>
      </c>
      <c r="F46" s="38">
        <v>31738</v>
      </c>
      <c r="G46" s="17">
        <v>2623</v>
      </c>
      <c r="H46" s="39">
        <v>14.805479452054797</v>
      </c>
      <c r="I46" s="39">
        <v>37.805479452054797</v>
      </c>
      <c r="J46" s="39"/>
    </row>
    <row r="47" spans="1:10" ht="14.25" customHeight="1" x14ac:dyDescent="0.25">
      <c r="A47" s="17">
        <v>47</v>
      </c>
      <c r="B47" s="17" t="s">
        <v>157</v>
      </c>
      <c r="C47" s="17" t="s">
        <v>158</v>
      </c>
      <c r="D47" s="17" t="s">
        <v>73</v>
      </c>
      <c r="E47" s="17" t="s">
        <v>116</v>
      </c>
      <c r="F47" s="38">
        <v>32248</v>
      </c>
      <c r="G47" s="17">
        <v>2654</v>
      </c>
      <c r="H47" s="39">
        <v>13.408219178082192</v>
      </c>
      <c r="I47" s="39">
        <v>36.408219178082192</v>
      </c>
      <c r="J47" s="39"/>
    </row>
    <row r="48" spans="1:10" ht="14.25" customHeight="1" x14ac:dyDescent="0.25">
      <c r="A48" s="17">
        <v>67</v>
      </c>
      <c r="B48" s="17" t="s">
        <v>159</v>
      </c>
      <c r="C48" s="17" t="s">
        <v>160</v>
      </c>
      <c r="D48" s="17" t="s">
        <v>73</v>
      </c>
      <c r="E48" s="17" t="s">
        <v>116</v>
      </c>
      <c r="F48" s="38">
        <v>33340</v>
      </c>
      <c r="G48" s="17">
        <v>2245</v>
      </c>
      <c r="H48" s="39">
        <v>10.416438356164385</v>
      </c>
      <c r="I48" s="39">
        <v>33.416438356164385</v>
      </c>
      <c r="J48" s="39"/>
    </row>
    <row r="49" spans="1:10" ht="14.25" customHeight="1" x14ac:dyDescent="0.25">
      <c r="A49" s="17">
        <v>97</v>
      </c>
      <c r="B49" s="17" t="s">
        <v>161</v>
      </c>
      <c r="C49" s="17" t="s">
        <v>162</v>
      </c>
      <c r="D49" s="17" t="s">
        <v>73</v>
      </c>
      <c r="E49" s="17" t="s">
        <v>116</v>
      </c>
      <c r="F49" s="38">
        <v>25133</v>
      </c>
      <c r="G49" s="17">
        <v>2333</v>
      </c>
      <c r="H49" s="39">
        <v>32.901369863013699</v>
      </c>
      <c r="I49" s="39">
        <v>55.901369863013699</v>
      </c>
      <c r="J49" s="39"/>
    </row>
    <row r="50" spans="1:10" ht="14.25" customHeight="1" x14ac:dyDescent="0.25">
      <c r="A50" s="17">
        <v>85</v>
      </c>
      <c r="B50" s="17" t="s">
        <v>163</v>
      </c>
      <c r="C50" s="17" t="s">
        <v>164</v>
      </c>
      <c r="D50" s="17" t="s">
        <v>73</v>
      </c>
      <c r="E50" s="17" t="s">
        <v>116</v>
      </c>
      <c r="F50" s="38">
        <v>31922</v>
      </c>
      <c r="G50" s="17">
        <v>2100</v>
      </c>
      <c r="H50" s="39">
        <v>14.301369863013697</v>
      </c>
      <c r="I50" s="39">
        <v>37.301369863013697</v>
      </c>
      <c r="J50" s="39"/>
    </row>
    <row r="51" spans="1:10" ht="14.25" customHeight="1" x14ac:dyDescent="0.25">
      <c r="F51" s="38"/>
    </row>
    <row r="52" spans="1:10" ht="14.25" customHeight="1" x14ac:dyDescent="0.25"/>
    <row r="53" spans="1:10" ht="14.25" customHeight="1" x14ac:dyDescent="0.25"/>
    <row r="54" spans="1:10" ht="14.25" customHeight="1" x14ac:dyDescent="0.25"/>
    <row r="55" spans="1:10" ht="14.25" customHeight="1" x14ac:dyDescent="0.25"/>
    <row r="56" spans="1:10" ht="14.25" customHeight="1" x14ac:dyDescent="0.25"/>
    <row r="57" spans="1:10" ht="14.25" customHeight="1" x14ac:dyDescent="0.25"/>
    <row r="58" spans="1:10" ht="14.25" customHeight="1" x14ac:dyDescent="0.25"/>
    <row r="59" spans="1:10" ht="14.25" customHeight="1" x14ac:dyDescent="0.25"/>
    <row r="60" spans="1:10" ht="14.25" customHeight="1" x14ac:dyDescent="0.25"/>
    <row r="61" spans="1:10" ht="14.25" customHeight="1" x14ac:dyDescent="0.25"/>
    <row r="62" spans="1:10" ht="14.25" customHeight="1" x14ac:dyDescent="0.25"/>
    <row r="63" spans="1:10" ht="14.25" customHeight="1" x14ac:dyDescent="0.25"/>
    <row r="64" spans="1:1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I50" xr:uid="{00000000-0001-0000-0200-000000000000}"/>
  <dataValidations disablePrompts="1" count="2">
    <dataValidation type="list" allowBlank="1" showErrorMessage="1" sqref="D2:D10" xr:uid="{00000000-0002-0000-0200-000000000000}">
      <formula1>SEXO</formula1>
    </dataValidation>
    <dataValidation type="list" allowBlank="1" showErrorMessage="1" sqref="E2:E10" xr:uid="{00000000-0002-0000-0200-000001000000}">
      <formula1>CARGO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VertiPinturas Data Formats</vt:lpstr>
      <vt:lpstr>Vertipinturas oper &amp; ref</vt:lpstr>
      <vt:lpstr>VertiPinturas_formats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michal kosnik</cp:lastModifiedBy>
  <dcterms:created xsi:type="dcterms:W3CDTF">2022-11-07T19:36:49Z</dcterms:created>
  <dcterms:modified xsi:type="dcterms:W3CDTF">2025-09-16T21:17:18Z</dcterms:modified>
</cp:coreProperties>
</file>