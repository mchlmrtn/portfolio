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icha\OneDrive\Desktop\WORK\portfolio folder\Files\Other Projects\"/>
    </mc:Choice>
  </mc:AlternateContent>
  <xr:revisionPtr revIDLastSave="0" documentId="13_ncr:1_{34EDD4EA-C063-4754-AB23-ACC0F272399A}" xr6:coauthVersionLast="47" xr6:coauthVersionMax="47" xr10:uidLastSave="{00000000-0000-0000-0000-000000000000}"/>
  <bookViews>
    <workbookView xWindow="-120" yWindow="-120" windowWidth="29040" windowHeight="15720" tabRatio="584" firstSheet="1" activeTab="1" xr2:uid="{936B1A9A-F1D9-4EF7-984F-A48133118E1B}"/>
  </bookViews>
  <sheets>
    <sheet name="Output Data Sheet" sheetId="2" state="hidden" r:id="rId1"/>
    <sheet name="Input Sheet" sheetId="1" r:id="rId2"/>
    <sheet name="Suggestion3" sheetId="5" r:id="rId3"/>
  </sheets>
  <definedNames>
    <definedName name="_xlcn.WorksheetConnection_InputSheetLL1" hidden="1">'Input Sheet'!$O:$O</definedName>
    <definedName name="_xlcn.WorksheetConnection_resellchart3.xlsxinput_table1" hidden="1">input_table[]</definedName>
    <definedName name="_xlcn.WorksheetConnection_resellchart3.xlsxoutput_table1" hidden="1">output_table[]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utput_table" name="output_table" connection="WorksheetConnection_resell chart 3.xlsx!output_table"/>
          <x15:modelTable id="input_table" name="input_table" connection="WorksheetConnection_resell chart 3.xlsx!input_table"/>
          <x15:modelTable id="Range" name="Range" connection="WorksheetConnection_Input Sheet!$L:$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96" i="1" l="1"/>
  <c r="M95" i="1"/>
  <c r="M97" i="1"/>
  <c r="M99" i="1"/>
  <c r="M76" i="1"/>
  <c r="M77" i="1"/>
  <c r="M93" i="1"/>
  <c r="M92" i="1"/>
  <c r="M91" i="1"/>
  <c r="O103" i="1"/>
  <c r="O100" i="1"/>
  <c r="M101" i="1"/>
  <c r="M119" i="1"/>
  <c r="M124" i="1"/>
  <c r="M125" i="1"/>
  <c r="M89" i="1"/>
  <c r="M98" i="1"/>
  <c r="M81" i="1"/>
  <c r="M88" i="1"/>
  <c r="M108" i="1"/>
  <c r="M127" i="1"/>
  <c r="M82" i="1"/>
  <c r="M90" i="1"/>
  <c r="M94" i="1"/>
  <c r="M103" i="1"/>
  <c r="M100" i="1"/>
  <c r="M84" i="1"/>
  <c r="M86" i="1"/>
  <c r="M87" i="1"/>
  <c r="M83" i="1"/>
  <c r="M85" i="1"/>
  <c r="M80" i="1"/>
  <c r="O76" i="1"/>
  <c r="Q76" i="1" s="1"/>
  <c r="P76" i="1"/>
  <c r="O84" i="1"/>
  <c r="Q84" i="1" s="1"/>
  <c r="P84" i="1"/>
  <c r="O86" i="1"/>
  <c r="Q86" i="1" s="1"/>
  <c r="P86" i="1"/>
  <c r="M78" i="1"/>
  <c r="M67" i="1"/>
  <c r="O77" i="1"/>
  <c r="Q77" i="1" s="1"/>
  <c r="P77" i="1"/>
  <c r="O70" i="1"/>
  <c r="Q70" i="1" s="1"/>
  <c r="P70" i="1"/>
  <c r="O67" i="1"/>
  <c r="Q67" i="1" s="1"/>
  <c r="O90" i="1"/>
  <c r="Q90" i="1" s="1"/>
  <c r="O94" i="1"/>
  <c r="Q94" i="1" s="1"/>
  <c r="P67" i="1"/>
  <c r="P90" i="1"/>
  <c r="P94" i="1"/>
  <c r="P103" i="1"/>
  <c r="P100" i="1"/>
  <c r="P72" i="1"/>
  <c r="O72" i="1"/>
  <c r="Q72" i="1" s="1"/>
  <c r="M72" i="1"/>
  <c r="M66" i="1"/>
  <c r="O66" i="1"/>
  <c r="Q66" i="1" s="1"/>
  <c r="P66" i="1"/>
  <c r="M61" i="1"/>
  <c r="M74" i="1"/>
  <c r="M73" i="1"/>
  <c r="M60" i="1"/>
  <c r="M69" i="1"/>
  <c r="M64" i="1"/>
  <c r="M62" i="1"/>
  <c r="M59" i="1"/>
  <c r="M75" i="1"/>
  <c r="M79" i="1"/>
  <c r="M68" i="1"/>
  <c r="M65" i="1"/>
  <c r="M63" i="1"/>
  <c r="M70" i="1"/>
  <c r="M71" i="1"/>
  <c r="M57" i="1"/>
  <c r="O71" i="1"/>
  <c r="Q71" i="1" s="1"/>
  <c r="P71" i="1"/>
  <c r="O108" i="1"/>
  <c r="P108" i="1"/>
  <c r="O65" i="1"/>
  <c r="Q65" i="1" s="1"/>
  <c r="P65" i="1"/>
  <c r="Q108" i="1" l="1"/>
  <c r="T5" i="1"/>
  <c r="S5" i="1"/>
  <c r="M50" i="1" l="1"/>
  <c r="M51" i="1"/>
  <c r="M54" i="1"/>
  <c r="M55" i="1"/>
  <c r="M58" i="1"/>
  <c r="M53" i="1"/>
  <c r="M56" i="1"/>
  <c r="M52" i="1"/>
  <c r="M49" i="1" l="1"/>
  <c r="M47" i="1"/>
  <c r="M48" i="1"/>
  <c r="M45" i="1"/>
  <c r="M46" i="1"/>
  <c r="M42" i="1"/>
  <c r="M40" i="1"/>
  <c r="M37" i="1"/>
  <c r="M27" i="1"/>
  <c r="M34" i="1"/>
  <c r="M36" i="1"/>
  <c r="M25" i="1"/>
  <c r="M43" i="1"/>
  <c r="M44" i="1"/>
  <c r="M26" i="1"/>
  <c r="M24" i="1"/>
  <c r="M32" i="1"/>
  <c r="M41" i="1"/>
  <c r="M33" i="1"/>
  <c r="M28" i="1"/>
  <c r="M29" i="1"/>
  <c r="M38" i="1"/>
  <c r="M39" i="1"/>
  <c r="M35" i="1"/>
  <c r="M31" i="1"/>
  <c r="M30" i="1"/>
  <c r="M3" i="1"/>
  <c r="M4" i="1"/>
  <c r="M14" i="1"/>
  <c r="M18" i="1"/>
  <c r="M22" i="1"/>
  <c r="M8" i="1"/>
  <c r="M5" i="1"/>
  <c r="M6" i="1"/>
  <c r="M7" i="1"/>
  <c r="M16" i="1"/>
  <c r="M15" i="1"/>
  <c r="M17" i="1"/>
  <c r="M23" i="1"/>
  <c r="M9" i="1"/>
  <c r="M10" i="1"/>
  <c r="M11" i="1"/>
  <c r="M13" i="1"/>
  <c r="M21" i="1"/>
  <c r="M19" i="1"/>
  <c r="M12" i="1"/>
  <c r="M20" i="1"/>
  <c r="O78" i="1" l="1"/>
  <c r="P78" i="1"/>
  <c r="O4" i="1"/>
  <c r="P4" i="1"/>
  <c r="O18" i="1"/>
  <c r="P18" i="1"/>
  <c r="O2" i="1"/>
  <c r="P2" i="1"/>
  <c r="O61" i="1"/>
  <c r="P61" i="1"/>
  <c r="O22" i="1"/>
  <c r="P22" i="1"/>
  <c r="O3" i="1"/>
  <c r="P3" i="1"/>
  <c r="O8" i="1"/>
  <c r="P8" i="1"/>
  <c r="O14" i="1"/>
  <c r="P14" i="1"/>
  <c r="O34" i="1"/>
  <c r="P34" i="1"/>
  <c r="O36" i="1"/>
  <c r="P36" i="1"/>
  <c r="O5" i="1"/>
  <c r="P5" i="1"/>
  <c r="O6" i="1"/>
  <c r="P6" i="1"/>
  <c r="O7" i="1"/>
  <c r="P7" i="1"/>
  <c r="O101" i="1"/>
  <c r="P101" i="1"/>
  <c r="O16" i="1"/>
  <c r="P16" i="1"/>
  <c r="O15" i="1"/>
  <c r="P15" i="1"/>
  <c r="O17" i="1"/>
  <c r="P17" i="1"/>
  <c r="O54" i="1"/>
  <c r="P54" i="1"/>
  <c r="O23" i="1"/>
  <c r="P23" i="1"/>
  <c r="O9" i="1"/>
  <c r="P9" i="1"/>
  <c r="O10" i="1"/>
  <c r="P10" i="1"/>
  <c r="O11" i="1"/>
  <c r="P11" i="1"/>
  <c r="O13" i="1"/>
  <c r="P13" i="1"/>
  <c r="O21" i="1"/>
  <c r="P21" i="1"/>
  <c r="O25" i="1"/>
  <c r="P25" i="1"/>
  <c r="O19" i="1"/>
  <c r="P19" i="1"/>
  <c r="O12" i="1"/>
  <c r="P12" i="1"/>
  <c r="O43" i="1"/>
  <c r="P43" i="1"/>
  <c r="O44" i="1"/>
  <c r="P44" i="1"/>
  <c r="O20" i="1"/>
  <c r="P20" i="1"/>
  <c r="O26" i="1"/>
  <c r="P26" i="1"/>
  <c r="O24" i="1"/>
  <c r="P24" i="1"/>
  <c r="O74" i="1"/>
  <c r="P74" i="1"/>
  <c r="O32" i="1"/>
  <c r="P32" i="1"/>
  <c r="O73" i="1"/>
  <c r="P73" i="1"/>
  <c r="O41" i="1"/>
  <c r="P41" i="1"/>
  <c r="O45" i="1"/>
  <c r="P45" i="1"/>
  <c r="O33" i="1"/>
  <c r="P33" i="1"/>
  <c r="O27" i="1"/>
  <c r="P27" i="1"/>
  <c r="O28" i="1"/>
  <c r="P28" i="1"/>
  <c r="O29" i="1"/>
  <c r="P29" i="1"/>
  <c r="O38" i="1"/>
  <c r="P38" i="1"/>
  <c r="O39" i="1"/>
  <c r="P39" i="1"/>
  <c r="O35" i="1"/>
  <c r="P35" i="1"/>
  <c r="O49" i="1"/>
  <c r="P49" i="1"/>
  <c r="O31" i="1"/>
  <c r="P31" i="1"/>
  <c r="O30" i="1"/>
  <c r="P30" i="1"/>
  <c r="O40" i="1"/>
  <c r="P40" i="1"/>
  <c r="O60" i="1"/>
  <c r="P60" i="1"/>
  <c r="O69" i="1"/>
  <c r="P69" i="1"/>
  <c r="O37" i="1"/>
  <c r="P37" i="1"/>
  <c r="O119" i="1"/>
  <c r="P119" i="1"/>
  <c r="O46" i="1"/>
  <c r="P46" i="1"/>
  <c r="O42" i="1"/>
  <c r="P42" i="1"/>
  <c r="O55" i="1"/>
  <c r="P55" i="1"/>
  <c r="O125" i="1"/>
  <c r="P125" i="1"/>
  <c r="O124" i="1"/>
  <c r="P124" i="1"/>
  <c r="O64" i="1"/>
  <c r="Q64" i="1" s="1"/>
  <c r="P64" i="1"/>
  <c r="O58" i="1"/>
  <c r="P58" i="1"/>
  <c r="O62" i="1"/>
  <c r="P62" i="1"/>
  <c r="O53" i="1"/>
  <c r="P53" i="1"/>
  <c r="O47" i="1"/>
  <c r="P47" i="1"/>
  <c r="O48" i="1"/>
  <c r="P48" i="1"/>
  <c r="O59" i="1"/>
  <c r="P59" i="1"/>
  <c r="O56" i="1"/>
  <c r="P56" i="1"/>
  <c r="O89" i="1"/>
  <c r="P89" i="1"/>
  <c r="O98" i="1"/>
  <c r="Q98" i="1" s="1"/>
  <c r="P98" i="1"/>
  <c r="O52" i="1"/>
  <c r="P52" i="1"/>
  <c r="O51" i="1"/>
  <c r="P51" i="1"/>
  <c r="O75" i="1"/>
  <c r="Q75" i="1" s="1"/>
  <c r="P75" i="1"/>
  <c r="O79" i="1"/>
  <c r="Q79" i="1" s="1"/>
  <c r="P79" i="1"/>
  <c r="O50" i="1"/>
  <c r="Q50" i="1" s="1"/>
  <c r="P50" i="1"/>
  <c r="O81" i="1"/>
  <c r="P81" i="1"/>
  <c r="O68" i="1"/>
  <c r="Q68" i="1" s="1"/>
  <c r="P68" i="1"/>
  <c r="O88" i="1"/>
  <c r="P88" i="1"/>
  <c r="O63" i="1"/>
  <c r="P63" i="1"/>
  <c r="O127" i="1"/>
  <c r="P127" i="1"/>
  <c r="O57" i="1"/>
  <c r="P57" i="1"/>
  <c r="O82" i="1"/>
  <c r="P82" i="1"/>
  <c r="O80" i="1"/>
  <c r="P80" i="1"/>
  <c r="O87" i="1"/>
  <c r="P87" i="1"/>
  <c r="O83" i="1"/>
  <c r="P83" i="1"/>
  <c r="O85" i="1"/>
  <c r="P85" i="1"/>
  <c r="O111" i="1"/>
  <c r="P111" i="1"/>
  <c r="O110" i="1"/>
  <c r="P110" i="1"/>
  <c r="O109" i="1"/>
  <c r="P109" i="1"/>
  <c r="O102" i="1"/>
  <c r="P102" i="1"/>
  <c r="O105" i="1"/>
  <c r="P105" i="1"/>
  <c r="O106" i="1"/>
  <c r="P106" i="1"/>
  <c r="O96" i="1"/>
  <c r="P96" i="1"/>
  <c r="O92" i="1"/>
  <c r="P92" i="1"/>
  <c r="O104" i="1"/>
  <c r="P104" i="1"/>
  <c r="O107" i="1"/>
  <c r="P107" i="1"/>
  <c r="O91" i="1"/>
  <c r="P91" i="1"/>
  <c r="O97" i="1"/>
  <c r="P97" i="1"/>
  <c r="O93" i="1"/>
  <c r="P93" i="1"/>
  <c r="O116" i="1"/>
  <c r="P116" i="1"/>
  <c r="O95" i="1"/>
  <c r="P95" i="1"/>
  <c r="O99" i="1"/>
  <c r="P99" i="1"/>
  <c r="O120" i="1"/>
  <c r="P120" i="1"/>
  <c r="O117" i="1"/>
  <c r="P117" i="1"/>
  <c r="O114" i="1"/>
  <c r="P114" i="1"/>
  <c r="O115" i="1"/>
  <c r="P115" i="1"/>
  <c r="O126" i="1"/>
  <c r="P126" i="1"/>
  <c r="O123" i="1"/>
  <c r="P123" i="1"/>
  <c r="O118" i="1"/>
  <c r="P118" i="1"/>
  <c r="O112" i="1"/>
  <c r="P112" i="1"/>
  <c r="O122" i="1"/>
  <c r="P122" i="1"/>
  <c r="O121" i="1"/>
  <c r="P121" i="1"/>
  <c r="O113" i="1"/>
  <c r="P113" i="1"/>
  <c r="M2" i="1"/>
  <c r="Q57" i="1"/>
  <c r="Q87" i="1"/>
  <c r="Q56" i="1"/>
  <c r="T2" i="1" l="1"/>
  <c r="S2" i="1"/>
  <c r="U5" i="1"/>
  <c r="S8" i="1"/>
  <c r="T8" i="1" s="1"/>
  <c r="Q18" i="1" l="1"/>
  <c r="Q36" i="1" l="1"/>
  <c r="Q6" i="1"/>
  <c r="Q78" i="1"/>
  <c r="Q4" i="1"/>
  <c r="Q2" i="1"/>
  <c r="Q61" i="1"/>
  <c r="Q22" i="1"/>
  <c r="Q3" i="1"/>
  <c r="Q8" i="1"/>
  <c r="Q14" i="1"/>
  <c r="Q34" i="1"/>
  <c r="Q127" i="1"/>
  <c r="Q29" i="1"/>
  <c r="Q101" i="1"/>
  <c r="Q17" i="1"/>
  <c r="Q23" i="1"/>
  <c r="Q21" i="1"/>
  <c r="Q16" i="1"/>
  <c r="Q5" i="1"/>
  <c r="Q13" i="1"/>
  <c r="Q44" i="1"/>
  <c r="Q7" i="1"/>
  <c r="Q9" i="1"/>
  <c r="Q125" i="1"/>
  <c r="Q15" i="1"/>
  <c r="Q24" i="1"/>
  <c r="Q12" i="1"/>
  <c r="Q54" i="1"/>
  <c r="Q19" i="1"/>
  <c r="Q69" i="1"/>
  <c r="Q10" i="1"/>
  <c r="Q11" i="1"/>
  <c r="Q25" i="1"/>
  <c r="Q119" i="1"/>
  <c r="Q46" i="1"/>
  <c r="Q43" i="1"/>
  <c r="Q20" i="1"/>
  <c r="Q31" i="1"/>
  <c r="Q45" i="1"/>
  <c r="Q33" i="1"/>
  <c r="Q27" i="1"/>
  <c r="Q26" i="1"/>
  <c r="Q74" i="1"/>
  <c r="Q73" i="1"/>
  <c r="Q32" i="1"/>
  <c r="Q40" i="1"/>
  <c r="Q41" i="1"/>
  <c r="Q35" i="1"/>
  <c r="Q60" i="1"/>
  <c r="Q28" i="1"/>
  <c r="Q38" i="1"/>
  <c r="Q49" i="1"/>
  <c r="Q55" i="1"/>
  <c r="Q42" i="1"/>
  <c r="Q62" i="1"/>
  <c r="Q112" i="1"/>
  <c r="Q122" i="1"/>
  <c r="Q124" i="1"/>
  <c r="Q37" i="1"/>
  <c r="Q39" i="1"/>
  <c r="Q30" i="1"/>
  <c r="Q58" i="1"/>
  <c r="Q53" i="1"/>
  <c r="Q47" i="1"/>
  <c r="Q48" i="1"/>
  <c r="Q88" i="1"/>
  <c r="Q59" i="1"/>
  <c r="Q81" i="1"/>
  <c r="Q52" i="1"/>
  <c r="Q89" i="1"/>
  <c r="Q51" i="1"/>
  <c r="Q63" i="1"/>
  <c r="Q120" i="1"/>
  <c r="Q103" i="1"/>
  <c r="Q82" i="1"/>
  <c r="Q100" i="1"/>
  <c r="Q80" i="1"/>
  <c r="Q111" i="1"/>
  <c r="Q85" i="1"/>
  <c r="Q83" i="1"/>
  <c r="Q91" i="1"/>
  <c r="Q106" i="1"/>
  <c r="Q121" i="1"/>
  <c r="Q110" i="1"/>
  <c r="Q96" i="1"/>
  <c r="Q109" i="1"/>
  <c r="Q102" i="1"/>
  <c r="Q117" i="1"/>
  <c r="Q105" i="1"/>
  <c r="Q116" i="1"/>
  <c r="Q104" i="1"/>
  <c r="Q97" i="1"/>
  <c r="Q92" i="1"/>
  <c r="Q113" i="1"/>
  <c r="Q95" i="1"/>
  <c r="Q107" i="1"/>
  <c r="Q93" i="1"/>
  <c r="Q115" i="1"/>
  <c r="Q118" i="1"/>
  <c r="Q114" i="1"/>
  <c r="Q126" i="1"/>
  <c r="Q123" i="1"/>
  <c r="Q9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75F87F-682B-4349-BE01-92ED0EB1D7A8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BB9910C-0FE0-4E3F-9FEE-7F7DB2062DFA}" name="WorksheetConnection_Input Sheet!$L:$L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InputSheetLL1"/>
        </x15:connection>
      </ext>
    </extLst>
  </connection>
  <connection id="3" xr16:uid="{B56A9203-5B79-4C19-9D36-83BB4C1AB201}" name="WorksheetConnection_resell chart 3.xlsx!input_table" type="102" refreshedVersion="8" minRefreshableVersion="5">
    <extLst>
      <ext xmlns:x15="http://schemas.microsoft.com/office/spreadsheetml/2010/11/main" uri="{DE250136-89BD-433C-8126-D09CA5730AF9}">
        <x15:connection id="input_table">
          <x15:rangePr sourceName="_xlcn.WorksheetConnection_resellchart3.xlsxinput_table1"/>
        </x15:connection>
      </ext>
    </extLst>
  </connection>
  <connection id="4" xr16:uid="{CCD3A413-781E-40ED-A7F2-72E442079108}" name="WorksheetConnection_resell chart 3.xlsx!output_table" type="102" refreshedVersion="8" minRefreshableVersion="5">
    <extLst>
      <ext xmlns:x15="http://schemas.microsoft.com/office/spreadsheetml/2010/11/main" uri="{DE250136-89BD-433C-8126-D09CA5730AF9}">
        <x15:connection id="output_table">
          <x15:rangePr sourceName="_xlcn.WorksheetConnection_resellchart3.xlsxoutput_table1"/>
        </x15:connection>
      </ext>
    </extLst>
  </connection>
</connections>
</file>

<file path=xl/sharedStrings.xml><?xml version="1.0" encoding="utf-8"?>
<sst xmlns="http://schemas.openxmlformats.org/spreadsheetml/2006/main" count="923" uniqueCount="218">
  <si>
    <t>Income stream</t>
  </si>
  <si>
    <t>Brand</t>
  </si>
  <si>
    <t>Item</t>
  </si>
  <si>
    <t>Size</t>
  </si>
  <si>
    <t>colour</t>
  </si>
  <si>
    <t>Purchased</t>
  </si>
  <si>
    <t>Date Purchased</t>
  </si>
  <si>
    <t>Sold</t>
  </si>
  <si>
    <t>Date Sold</t>
  </si>
  <si>
    <t>shoes</t>
  </si>
  <si>
    <t>nike</t>
  </si>
  <si>
    <t>jordan</t>
  </si>
  <si>
    <t>dunk low</t>
  </si>
  <si>
    <t>ROI</t>
  </si>
  <si>
    <t>Total actual revenue</t>
  </si>
  <si>
    <t>total estimate profit</t>
  </si>
  <si>
    <t>total estimate revenue</t>
  </si>
  <si>
    <t>est. profit</t>
  </si>
  <si>
    <t>actual profit</t>
  </si>
  <si>
    <t>Total actual profit</t>
  </si>
  <si>
    <t>1 low</t>
  </si>
  <si>
    <t>sale method</t>
  </si>
  <si>
    <t>ebay</t>
  </si>
  <si>
    <t>stockx</t>
  </si>
  <si>
    <t>goat</t>
  </si>
  <si>
    <t>sell time</t>
  </si>
  <si>
    <t>inventory retail value</t>
  </si>
  <si>
    <t>inventory estimate value</t>
  </si>
  <si>
    <t>inventory estimate ROI</t>
  </si>
  <si>
    <t>1 high</t>
  </si>
  <si>
    <t>tech fleece</t>
  </si>
  <si>
    <t>L</t>
  </si>
  <si>
    <t>snap</t>
  </si>
  <si>
    <t>clothes</t>
  </si>
  <si>
    <t>M</t>
  </si>
  <si>
    <t>off white</t>
  </si>
  <si>
    <t>Sum of est. profit</t>
  </si>
  <si>
    <t>Row Labels</t>
  </si>
  <si>
    <t>Grand Total</t>
  </si>
  <si>
    <t>Sum of actual profit</t>
  </si>
  <si>
    <t>Average of ROI</t>
  </si>
  <si>
    <t>Top  'Income streams' by total 'est. profit'</t>
  </si>
  <si>
    <t>Top 'sale method' by total 'actual profit'</t>
  </si>
  <si>
    <t>month</t>
  </si>
  <si>
    <t>Jan</t>
  </si>
  <si>
    <t>Total 'actual profit' by 'month'</t>
  </si>
  <si>
    <t>11 high</t>
  </si>
  <si>
    <t>adidas</t>
  </si>
  <si>
    <t>human race NMD</t>
  </si>
  <si>
    <t>S</t>
  </si>
  <si>
    <t>michigan</t>
  </si>
  <si>
    <t>trapstar</t>
  </si>
  <si>
    <t>win like 96</t>
  </si>
  <si>
    <t>irongate jacket</t>
  </si>
  <si>
    <t>grey/green</t>
  </si>
  <si>
    <t>smoke grey</t>
  </si>
  <si>
    <t>bred</t>
  </si>
  <si>
    <t>infinite species</t>
  </si>
  <si>
    <t>xs</t>
  </si>
  <si>
    <t>pine green</t>
  </si>
  <si>
    <t>atmosphere</t>
  </si>
  <si>
    <t>citadel</t>
  </si>
  <si>
    <t xml:space="preserve"> </t>
  </si>
  <si>
    <t>mesh panel hoodie tracksuit</t>
  </si>
  <si>
    <t>triple black</t>
  </si>
  <si>
    <t>harvest</t>
  </si>
  <si>
    <t>estimate value</t>
  </si>
  <si>
    <t>1 zoom</t>
  </si>
  <si>
    <t>stadium green</t>
  </si>
  <si>
    <t>1 mid</t>
  </si>
  <si>
    <t>armory navy</t>
  </si>
  <si>
    <t>red thunder</t>
  </si>
  <si>
    <t>grey/pine</t>
  </si>
  <si>
    <t>racer blue</t>
  </si>
  <si>
    <t>stone grey</t>
  </si>
  <si>
    <t>corteiz</t>
  </si>
  <si>
    <t>balaclava beanie</t>
  </si>
  <si>
    <t xml:space="preserve"> -</t>
  </si>
  <si>
    <t>black</t>
  </si>
  <si>
    <t>jan</t>
  </si>
  <si>
    <t>instagram</t>
  </si>
  <si>
    <t>boxers</t>
  </si>
  <si>
    <t>s</t>
  </si>
  <si>
    <t>-</t>
  </si>
  <si>
    <t>white</t>
  </si>
  <si>
    <t>items</t>
  </si>
  <si>
    <t>cross body bag</t>
  </si>
  <si>
    <t>dazzling blue</t>
  </si>
  <si>
    <t>kick game</t>
  </si>
  <si>
    <t>Feb</t>
  </si>
  <si>
    <t>what the</t>
  </si>
  <si>
    <t>pink</t>
  </si>
  <si>
    <t>balaclava lite</t>
  </si>
  <si>
    <t>black/red</t>
  </si>
  <si>
    <t>neutral grey 2001</t>
  </si>
  <si>
    <t>venice</t>
  </si>
  <si>
    <t>yeezy</t>
  </si>
  <si>
    <t>mauve</t>
  </si>
  <si>
    <t>700 v2</t>
  </si>
  <si>
    <t>hospital blue</t>
  </si>
  <si>
    <t>irongate hooded tracksuit</t>
  </si>
  <si>
    <t>grey</t>
  </si>
  <si>
    <t>hyperdrive hooded puffer</t>
  </si>
  <si>
    <t>irongate t hoodie</t>
  </si>
  <si>
    <t>black/camo</t>
  </si>
  <si>
    <t>shooters hooded tracksuit</t>
  </si>
  <si>
    <t>XL</t>
  </si>
  <si>
    <t>XS</t>
  </si>
  <si>
    <t>ice</t>
  </si>
  <si>
    <t>laser blue</t>
  </si>
  <si>
    <t>particle grey/gym red</t>
  </si>
  <si>
    <t>two tone grey</t>
  </si>
  <si>
    <t>Mar</t>
  </si>
  <si>
    <t>f</t>
  </si>
  <si>
    <t>apple</t>
  </si>
  <si>
    <t>iphone 13 pro</t>
  </si>
  <si>
    <t>graphite</t>
  </si>
  <si>
    <t>white 4starz</t>
  </si>
  <si>
    <t>tank top</t>
  </si>
  <si>
    <t>guerillaz cargos</t>
  </si>
  <si>
    <t>purple</t>
  </si>
  <si>
    <t>black revolution</t>
  </si>
  <si>
    <t>grey revolution</t>
  </si>
  <si>
    <t xml:space="preserve">grey ice </t>
  </si>
  <si>
    <t>irongate short set</t>
  </si>
  <si>
    <t>irongate zipped tracksuit</t>
  </si>
  <si>
    <t>next nature gym red</t>
  </si>
  <si>
    <t>bpm</t>
  </si>
  <si>
    <t>broken planet zip hoodie</t>
  </si>
  <si>
    <t>granite</t>
  </si>
  <si>
    <t>skeleton hoodie</t>
  </si>
  <si>
    <t>dark hours sweatpants</t>
  </si>
  <si>
    <t>plenty of sunshine tshirt</t>
  </si>
  <si>
    <t>onyx</t>
  </si>
  <si>
    <t>dark brown</t>
  </si>
  <si>
    <t>outer space shorts</t>
  </si>
  <si>
    <t>Apr</t>
  </si>
  <si>
    <t>bred toe</t>
  </si>
  <si>
    <t>shadow toe</t>
  </si>
  <si>
    <t>gym red</t>
  </si>
  <si>
    <t>laced</t>
  </si>
  <si>
    <t>coconut milk</t>
  </si>
  <si>
    <t>travis scott air force 1</t>
  </si>
  <si>
    <t>sail</t>
  </si>
  <si>
    <t>grey ice 2.0</t>
  </si>
  <si>
    <t>black ice 2.0</t>
  </si>
  <si>
    <t>lightning</t>
  </si>
  <si>
    <t>diy</t>
  </si>
  <si>
    <t>May</t>
  </si>
  <si>
    <t>trap league hooded tracksuit</t>
  </si>
  <si>
    <t>black camo</t>
  </si>
  <si>
    <t>klekt</t>
  </si>
  <si>
    <t>arctic punch</t>
  </si>
  <si>
    <t>noble red</t>
  </si>
  <si>
    <t>cargo shorts</t>
  </si>
  <si>
    <t>alcatraz tee</t>
  </si>
  <si>
    <t>4starz white</t>
  </si>
  <si>
    <t>grey/dazzling blue</t>
  </si>
  <si>
    <t>aqua purple</t>
  </si>
  <si>
    <t>fear of god</t>
  </si>
  <si>
    <t>essentials hoodie ss20</t>
  </si>
  <si>
    <t>black ss20</t>
  </si>
  <si>
    <t>bluebird</t>
  </si>
  <si>
    <t>dark glow</t>
  </si>
  <si>
    <t>Jun</t>
  </si>
  <si>
    <t>Jul</t>
  </si>
  <si>
    <t>dunk high</t>
  </si>
  <si>
    <t>madder root</t>
  </si>
  <si>
    <t>valerian blue</t>
  </si>
  <si>
    <t>champs</t>
  </si>
  <si>
    <t>whatsapp</t>
  </si>
  <si>
    <t>travis reverse mocha</t>
  </si>
  <si>
    <t>psg</t>
  </si>
  <si>
    <t>slide</t>
  </si>
  <si>
    <t>10k</t>
  </si>
  <si>
    <t>psg strike tracksuit</t>
  </si>
  <si>
    <t>bone</t>
  </si>
  <si>
    <t>black canvas</t>
  </si>
  <si>
    <t>shadow</t>
  </si>
  <si>
    <t>peach cream</t>
  </si>
  <si>
    <t>Oct</t>
  </si>
  <si>
    <t>Purchased from</t>
  </si>
  <si>
    <t>footlocker</t>
  </si>
  <si>
    <t>bulk</t>
  </si>
  <si>
    <t>snkrs</t>
  </si>
  <si>
    <t>pds</t>
  </si>
  <si>
    <t>curry</t>
  </si>
  <si>
    <t>amazon</t>
  </si>
  <si>
    <t>trade</t>
  </si>
  <si>
    <t>ice blue</t>
  </si>
  <si>
    <t>infrared</t>
  </si>
  <si>
    <t>Nov</t>
  </si>
  <si>
    <t>hidden in the dark hoodie</t>
  </si>
  <si>
    <t>olive</t>
  </si>
  <si>
    <t>visionaire</t>
  </si>
  <si>
    <t>uni</t>
  </si>
  <si>
    <t>dolly mix</t>
  </si>
  <si>
    <t>dolly mix hoodie</t>
  </si>
  <si>
    <t>black/yellow</t>
  </si>
  <si>
    <t>p45</t>
  </si>
  <si>
    <t>p45 cap</t>
  </si>
  <si>
    <t>blue</t>
  </si>
  <si>
    <t>Dec</t>
  </si>
  <si>
    <t>end</t>
  </si>
  <si>
    <t>monogram shorts</t>
  </si>
  <si>
    <t>jacquard windbreaker</t>
  </si>
  <si>
    <t>badfriend</t>
  </si>
  <si>
    <t>balaclava</t>
  </si>
  <si>
    <t>nocta</t>
  </si>
  <si>
    <t>nocta not step</t>
  </si>
  <si>
    <t>corvidae</t>
  </si>
  <si>
    <t>puffer jacket</t>
  </si>
  <si>
    <t>matte black</t>
  </si>
  <si>
    <t>office</t>
  </si>
  <si>
    <t>phantom</t>
  </si>
  <si>
    <t>Sep</t>
  </si>
  <si>
    <t>alternate dimensions tee</t>
  </si>
  <si>
    <t>seafoam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</si>
</sst>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/>
        <bgColor theme="6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44" fontId="0" fillId="0" borderId="0" xfId="0" applyNumberFormat="1"/>
    <xf numFmtId="10" fontId="0" fillId="0" borderId="0" xfId="0" applyNumberFormat="1"/>
    <xf numFmtId="164" fontId="0" fillId="0" borderId="0" xfId="0" applyNumberFormat="1"/>
    <xf numFmtId="44" fontId="2" fillId="2" borderId="1" xfId="2" applyNumberFormat="1"/>
    <xf numFmtId="44" fontId="3" fillId="3" borderId="2" xfId="0" applyNumberFormat="1" applyFont="1" applyFill="1" applyBorder="1"/>
    <xf numFmtId="44" fontId="3" fillId="3" borderId="3" xfId="0" applyNumberFormat="1" applyFont="1" applyFill="1" applyBorder="1"/>
    <xf numFmtId="44" fontId="0" fillId="0" borderId="4" xfId="0" applyNumberFormat="1" applyBorder="1"/>
    <xf numFmtId="44" fontId="0" fillId="0" borderId="5" xfId="0" applyNumberFormat="1" applyBorder="1"/>
    <xf numFmtId="49" fontId="0" fillId="0" borderId="0" xfId="0" applyNumberFormat="1"/>
    <xf numFmtId="44" fontId="4" fillId="0" borderId="0" xfId="0" applyNumberFormat="1" applyFont="1"/>
    <xf numFmtId="10" fontId="0" fillId="0" borderId="4" xfId="0" applyNumberFormat="1" applyBorder="1"/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/>
    </xf>
    <xf numFmtId="0" fontId="0" fillId="0" borderId="0" xfId="0" pivotButton="1"/>
    <xf numFmtId="0" fontId="7" fillId="0" borderId="0" xfId="0" applyFont="1" applyAlignment="1">
      <alignment horizontal="left" vertical="center"/>
    </xf>
    <xf numFmtId="14" fontId="0" fillId="0" borderId="0" xfId="1" applyNumberFormat="1" applyFont="1"/>
    <xf numFmtId="44" fontId="0" fillId="0" borderId="0" xfId="1" applyFont="1"/>
    <xf numFmtId="14" fontId="0" fillId="0" borderId="0" xfId="3" applyNumberFormat="1" applyFont="1"/>
  </cellXfs>
  <cellStyles count="4">
    <cellStyle name="Calculation" xfId="2" builtinId="22"/>
    <cellStyle name="Comma" xfId="3" builtinId="3"/>
    <cellStyle name="Currency" xfId="1" builtinId="4"/>
    <cellStyle name="Normal" xfId="0" builtinId="0"/>
  </cellStyles>
  <dxfs count="24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7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</font>
      <numFmt numFmtId="34" formatCode="_-&quot;£&quot;* #,##0.00_-;\-&quot;£&quot;* #,##0.00_-;_-&quot;£&quot;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</font>
      <numFmt numFmtId="34" formatCode="_-&quot;£&quot;* #,##0.00_-;\-&quot;£&quot;* #,##0.00_-;_-&quot;£&quot;* &quot;-&quot;??_-;_-@_-"/>
    </dxf>
    <dxf>
      <numFmt numFmtId="164" formatCode="0.0%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30" formatCode="@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164" formatCode="0.0%"/>
    </dxf>
    <dxf>
      <numFmt numFmtId="164" formatCode="0.0%"/>
    </dxf>
  </dxfs>
  <tableStyles count="0" defaultTableStyle="TableStyleMedium2" defaultPivotStyle="PivotStyleLight16"/>
  <colors>
    <mruColors>
      <color rgb="FFF2F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[resell chart 2022.xlsx]Suggestion3!PivotTable3</c:name>
    <c:fmtId val="6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Suggestion3!$M$21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Suggestion3!$L$22:$L$33</c:f>
              <c:strCache>
                <c:ptCount val="11"/>
                <c:pt idx="0">
                  <c:v>Dec</c:v>
                </c:pt>
                <c:pt idx="1">
                  <c:v>Nov</c:v>
                </c:pt>
                <c:pt idx="2">
                  <c:v>Oct</c:v>
                </c:pt>
                <c:pt idx="3">
                  <c:v>Sep</c:v>
                </c:pt>
                <c:pt idx="4">
                  <c:v>Jul</c:v>
                </c:pt>
                <c:pt idx="5">
                  <c:v>Jun</c:v>
                </c:pt>
                <c:pt idx="6">
                  <c:v>May</c:v>
                </c:pt>
                <c:pt idx="7">
                  <c:v>Apr</c:v>
                </c:pt>
                <c:pt idx="8">
                  <c:v>Mar</c:v>
                </c:pt>
                <c:pt idx="9">
                  <c:v>Feb</c:v>
                </c:pt>
                <c:pt idx="10">
                  <c:v>Jan</c:v>
                </c:pt>
              </c:strCache>
            </c:strRef>
          </c:cat>
          <c:val>
            <c:numRef>
              <c:f>Suggestion3!$M$22:$M$33</c:f>
              <c:numCache>
                <c:formatCode>_("£"* #,##0.00_);_("£"* \(#,##0.00\);_("£"* "-"??_);_(@_)</c:formatCode>
                <c:ptCount val="11"/>
                <c:pt idx="0">
                  <c:v>56.109999999999985</c:v>
                </c:pt>
                <c:pt idx="1">
                  <c:v>354.71</c:v>
                </c:pt>
                <c:pt idx="2">
                  <c:v>172.82999999999998</c:v>
                </c:pt>
                <c:pt idx="3">
                  <c:v>345.86</c:v>
                </c:pt>
                <c:pt idx="4">
                  <c:v>1345.82</c:v>
                </c:pt>
                <c:pt idx="5">
                  <c:v>122.07</c:v>
                </c:pt>
                <c:pt idx="6">
                  <c:v>1115.7399999999998</c:v>
                </c:pt>
                <c:pt idx="7">
                  <c:v>1123.5899999999999</c:v>
                </c:pt>
                <c:pt idx="8">
                  <c:v>322.25</c:v>
                </c:pt>
                <c:pt idx="9">
                  <c:v>565</c:v>
                </c:pt>
                <c:pt idx="10">
                  <c:v>852.55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8F-48A9-A402-5398917F6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7385103"/>
        <c:axId val="2017386351"/>
      </c:barChart>
      <c:catAx>
        <c:axId val="2017385103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386351"/>
        <c:crosses val="autoZero"/>
        <c:auto val="1"/>
        <c:lblAlgn val="ctr"/>
        <c:lblOffset val="100"/>
        <c:noMultiLvlLbl val="0"/>
      </c:catAx>
      <c:valAx>
        <c:axId val="2017386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£&quot;* #,##0.00_);_(&quot;£&quot;* \(#,##0.00\);_(&quot;£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38510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165100</xdr:rowOff>
    </xdr:to>
    <xdr:graphicFrame macro="">
      <xdr:nvGraphicFramePr>
        <xdr:cNvPr id="8" name="Chart 7" descr="Chart type: Clustered Bar. 'actual profit' by 'month'&#10;&#10;Description automatically generated">
          <a:extLst>
            <a:ext uri="{FF2B5EF4-FFF2-40B4-BE49-F238E27FC236}">
              <a16:creationId xmlns:a16="http://schemas.microsoft.com/office/drawing/2014/main" id="{0B48450F-1EE6-4F88-A94C-7C489E2F9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l kosnik" refreshedDate="44911.649979166665" createdVersion="7" refreshedVersion="8" minRefreshableVersion="3" recordCount="2464" xr:uid="{61881350-EA1B-4805-AB2D-CE9C2EB7143B}">
  <cacheSource type="worksheet">
    <worksheetSource ref="A1:Q127" sheet="Input Sheet"/>
  </cacheSource>
  <cacheFields count="17">
    <cacheField name="Income stream" numFmtId="0">
      <sharedItems containsBlank="1" count="6">
        <s v="shoes"/>
        <s v="clothes"/>
        <s v="items"/>
        <s v="f"/>
        <m/>
        <s v="giveaway" u="1"/>
      </sharedItems>
    </cacheField>
    <cacheField name="Purchased from" numFmtId="0">
      <sharedItems containsBlank="1"/>
    </cacheField>
    <cacheField name="Brand" numFmtId="0">
      <sharedItems containsBlank="1"/>
    </cacheField>
    <cacheField name="Item" numFmtId="0">
      <sharedItems containsBlank="1" containsMixedTypes="1" containsNumber="1" containsInteger="1" minValue="3" maxValue="700"/>
    </cacheField>
    <cacheField name="Size" numFmtId="0">
      <sharedItems containsBlank="1" containsMixedTypes="1" containsNumber="1" minValue="4" maxValue="14"/>
    </cacheField>
    <cacheField name="colour" numFmtId="0">
      <sharedItems containsBlank="1"/>
    </cacheField>
    <cacheField name="Purchased" numFmtId="44">
      <sharedItems containsString="0" containsBlank="1" containsNumber="1" minValue="0" maxValue="513"/>
    </cacheField>
    <cacheField name="Date Purchased" numFmtId="14">
      <sharedItems containsNonDate="0" containsDate="1" containsString="0" containsBlank="1" minDate="2021-11-04T00:00:00" maxDate="2022-11-30T00:00:00"/>
    </cacheField>
    <cacheField name="Sold" numFmtId="44">
      <sharedItems containsString="0" containsBlank="1" containsNumber="1" minValue="50" maxValue="1110"/>
    </cacheField>
    <cacheField name="Date Sold" numFmtId="14">
      <sharedItems containsNonDate="0" containsDate="1" containsString="0" containsBlank="1" minDate="2022-01-04T00:00:00" maxDate="2022-12-10T00:00:00"/>
    </cacheField>
    <cacheField name="month" numFmtId="0">
      <sharedItems containsBlank="1" count="16">
        <s v="Jan"/>
        <s v="Feb"/>
        <s v="Mar"/>
        <s v="Apr"/>
        <s v="May"/>
        <s v="Jun"/>
        <s v="Jul"/>
        <s v="Sep"/>
        <s v="Oct"/>
        <s v="Nov"/>
        <s v="Dec"/>
        <m/>
        <s v="June" u="1"/>
        <s v="Sept" u="1"/>
        <s v="Map" u="1"/>
        <s v="Aug" u="1"/>
      </sharedItems>
    </cacheField>
    <cacheField name="estimate value" numFmtId="44">
      <sharedItems containsString="0" containsBlank="1" containsNumber="1" containsInteger="1" minValue="40" maxValue="300"/>
    </cacheField>
    <cacheField name="sell time" numFmtId="0">
      <sharedItems containsBlank="1" containsMixedTypes="1" containsNumber="1" containsInteger="1" minValue="-1" maxValue="259"/>
    </cacheField>
    <cacheField name="sale method" numFmtId="0">
      <sharedItems containsBlank="1" count="22">
        <s v="ebay"/>
        <s v="stockx"/>
        <s v="goat"/>
        <s v="snap"/>
        <s v="instagram"/>
        <s v="kick game"/>
        <s v="laced"/>
        <s v="klekt"/>
        <s v="whatsapp"/>
        <s v="uni"/>
        <m/>
        <s v="person" u="1"/>
        <s v="trade- off white dunk uk8 +50" u="1"/>
        <s v="return" u="1"/>
        <s v="facebook" u="1"/>
        <s v="consigned goat" u="1"/>
        <s v="discord" u="1"/>
        <s v="whatsapp " u="1"/>
        <s v="preorder" u="1"/>
        <s v="scammed smh" u="1"/>
        <s v="depop" u="1"/>
        <s v="snap (trade- royal highs+preme dunks, for off white pine+michigan dunk+panda gs)" u="1"/>
      </sharedItems>
    </cacheField>
    <cacheField name="est. profit" numFmtId="44">
      <sharedItems containsSemiMixedTypes="0" containsString="0" containsNumber="1" minValue="0" maxValue="965.05"/>
    </cacheField>
    <cacheField name="actual profit" numFmtId="44">
      <sharedItems containsMixedTypes="1" containsNumber="1" minValue="0" maxValue="965.05"/>
    </cacheField>
    <cacheField name="ROI" numFmtId="164">
      <sharedItems containsSemiMixedTypes="0" containsString="0" containsNumber="1" minValue="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64">
  <r>
    <x v="0"/>
    <s v="ebay"/>
    <s v="adidas"/>
    <s v="human race NMD"/>
    <n v="8.5"/>
    <s v="infinite species"/>
    <n v="107"/>
    <d v="2021-12-11T00:00:00"/>
    <n v="170"/>
    <d v="2022-01-04T00:00:00"/>
    <x v="0"/>
    <m/>
    <n v="24"/>
    <x v="0"/>
    <n v="63"/>
    <n v="63"/>
    <n v="0.58878504672897192"/>
  </r>
  <r>
    <x v="0"/>
    <s v="nike"/>
    <s v="nike"/>
    <s v="dunk low"/>
    <n v="8"/>
    <s v="michigan"/>
    <n v="100"/>
    <d v="2021-12-22T00:00:00"/>
    <n v="162"/>
    <d v="2022-01-07T00:00:00"/>
    <x v="0"/>
    <m/>
    <n v="16"/>
    <x v="1"/>
    <n v="62"/>
    <n v="62"/>
    <n v="0.62"/>
  </r>
  <r>
    <x v="0"/>
    <s v="ebay"/>
    <s v="jordan"/>
    <s v="1 low"/>
    <n v="6.5"/>
    <s v="smoke grey"/>
    <n v="209"/>
    <d v="2021-12-04T00:00:00"/>
    <n v="220"/>
    <d v="2022-01-09T00:00:00"/>
    <x v="0"/>
    <m/>
    <n v="36"/>
    <x v="2"/>
    <n v="11"/>
    <n v="11"/>
    <n v="5.2631578947368418E-2"/>
  </r>
  <r>
    <x v="0"/>
    <s v="nike"/>
    <s v="jordan"/>
    <s v="1 low"/>
    <n v="7"/>
    <s v="bred toe"/>
    <n v="0"/>
    <d v="2022-01-04T00:00:00"/>
    <n v="130"/>
    <d v="2022-01-11T00:00:00"/>
    <x v="0"/>
    <m/>
    <n v="7"/>
    <x v="3"/>
    <n v="130"/>
    <n v="130"/>
    <n v="0"/>
  </r>
  <r>
    <x v="0"/>
    <s v="nike"/>
    <s v="nike"/>
    <s v="dunk low"/>
    <n v="5.5"/>
    <s v="harvest"/>
    <n v="90"/>
    <d v="2022-01-06T00:00:00"/>
    <n v="160"/>
    <d v="2022-01-12T00:00:00"/>
    <x v="0"/>
    <m/>
    <n v="6"/>
    <x v="3"/>
    <n v="70"/>
    <n v="70"/>
    <n v="0.77777777777777779"/>
  </r>
  <r>
    <x v="0"/>
    <s v="nike"/>
    <s v="nike"/>
    <s v="dunk low"/>
    <n v="6"/>
    <s v="harvest"/>
    <n v="90"/>
    <d v="2022-01-06T00:00:00"/>
    <n v="160"/>
    <d v="2022-01-12T00:00:00"/>
    <x v="0"/>
    <m/>
    <n v="6"/>
    <x v="3"/>
    <n v="70"/>
    <n v="70"/>
    <n v="0.77777777777777779"/>
  </r>
  <r>
    <x v="1"/>
    <s v="footlocker"/>
    <s v="nike"/>
    <s v="tech fleece"/>
    <s v="xs"/>
    <s v="grey/green"/>
    <n v="162"/>
    <d v="2021-12-23T00:00:00"/>
    <n v="250"/>
    <d v="2022-01-14T00:00:00"/>
    <x v="0"/>
    <m/>
    <n v="22"/>
    <x v="3"/>
    <n v="88"/>
    <n v="88"/>
    <n v="0.54320987654320985"/>
  </r>
  <r>
    <x v="0"/>
    <s v="snap"/>
    <s v="jordan"/>
    <s v="1 mid"/>
    <n v="9.5"/>
    <s v="grey/pine"/>
    <n v="130"/>
    <d v="2022-01-15T00:00:00"/>
    <n v="140"/>
    <d v="2022-01-15T00:00:00"/>
    <x v="0"/>
    <m/>
    <n v="0"/>
    <x v="3"/>
    <n v="10"/>
    <n v="10"/>
    <n v="7.6923076923076927E-2"/>
  </r>
  <r>
    <x v="0"/>
    <s v="ebay"/>
    <s v="jordan"/>
    <n v="3"/>
    <n v="10"/>
    <s v="racer blue"/>
    <n v="240"/>
    <d v="2022-01-15T00:00:00"/>
    <n v="280"/>
    <d v="2022-01-15T00:00:00"/>
    <x v="0"/>
    <m/>
    <n v="0"/>
    <x v="3"/>
    <n v="40"/>
    <n v="40"/>
    <n v="0.16666666666666666"/>
  </r>
  <r>
    <x v="1"/>
    <s v="ebay"/>
    <s v="trapstar"/>
    <s v="irongate jacket"/>
    <s v="M"/>
    <s v="stone grey"/>
    <n v="265"/>
    <d v="2022-01-15T00:00:00"/>
    <n v="280"/>
    <d v="2022-01-15T00:00:00"/>
    <x v="0"/>
    <m/>
    <n v="0"/>
    <x v="3"/>
    <n v="15"/>
    <n v="15"/>
    <n v="5.6603773584905662E-2"/>
  </r>
  <r>
    <x v="1"/>
    <s v="corteiz"/>
    <s v="corteiz"/>
    <s v="balaclava beanie"/>
    <s v=" -"/>
    <s v="black"/>
    <n v="32"/>
    <d v="2021-12-12T00:00:00"/>
    <n v="80"/>
    <d v="2022-01-16T00:00:00"/>
    <x v="0"/>
    <m/>
    <n v="35"/>
    <x v="4"/>
    <n v="48"/>
    <n v="48"/>
    <n v="1.5"/>
  </r>
  <r>
    <x v="2"/>
    <s v="ebay"/>
    <s v="trapstar"/>
    <s v="cross body bag"/>
    <s v="-"/>
    <s v="dazzling blue"/>
    <n v="65"/>
    <d v="2022-01-16T00:00:00"/>
    <n v="80"/>
    <d v="2022-01-16T00:00:00"/>
    <x v="0"/>
    <m/>
    <n v="0"/>
    <x v="3"/>
    <n v="15"/>
    <n v="15"/>
    <n v="0.23076923076923078"/>
  </r>
  <r>
    <x v="1"/>
    <s v="trapstar"/>
    <s v="trapstar"/>
    <s v="mesh panel hoodie tracksuit"/>
    <s v="L"/>
    <s v="citadel"/>
    <n v="172.45"/>
    <d v="2021-12-31T00:00:00"/>
    <n v="200"/>
    <d v="2022-01-18T00:00:00"/>
    <x v="0"/>
    <m/>
    <n v="18"/>
    <x v="3"/>
    <n v="27.550000000000011"/>
    <n v="27.550000000000011"/>
    <n v="0.15975645114525958"/>
  </r>
  <r>
    <x v="0"/>
    <s v="ebay"/>
    <s v="jordan"/>
    <s v="1 low"/>
    <n v="11"/>
    <s v="smoke grey"/>
    <n v="153"/>
    <d v="2022-01-11T00:00:00"/>
    <n v="190"/>
    <d v="2022-01-26T00:00:00"/>
    <x v="0"/>
    <m/>
    <n v="15"/>
    <x v="0"/>
    <n v="37"/>
    <n v="37"/>
    <n v="0.24183006535947713"/>
  </r>
  <r>
    <x v="0"/>
    <s v="ebay"/>
    <s v="jordan"/>
    <s v="1 mid"/>
    <n v="8"/>
    <s v="armory navy"/>
    <n v="61"/>
    <d v="2022-01-17T00:00:00"/>
    <n v="100"/>
    <d v="2022-01-26T00:00:00"/>
    <x v="0"/>
    <m/>
    <n v="9"/>
    <x v="0"/>
    <n v="39"/>
    <n v="39"/>
    <n v="0.63934426229508201"/>
  </r>
  <r>
    <x v="0"/>
    <s v="ebay"/>
    <s v="jordan"/>
    <s v="1 zoom"/>
    <n v="8"/>
    <s v="stadium green"/>
    <n v="60"/>
    <d v="2022-01-17T00:00:00"/>
    <n v="90"/>
    <d v="2022-01-27T00:00:00"/>
    <x v="0"/>
    <m/>
    <n v="10"/>
    <x v="0"/>
    <n v="30"/>
    <n v="30"/>
    <n v="0.5"/>
  </r>
  <r>
    <x v="0"/>
    <s v="ebay"/>
    <s v="jordan"/>
    <n v="4"/>
    <n v="8"/>
    <s v="bred"/>
    <n v="356"/>
    <d v="2021-12-11T00:00:00"/>
    <n v="420"/>
    <d v="2022-01-29T00:00:00"/>
    <x v="0"/>
    <m/>
    <n v="49"/>
    <x v="5"/>
    <n v="64"/>
    <n v="64"/>
    <n v="0.1797752808988764"/>
  </r>
  <r>
    <x v="1"/>
    <s v="ebay"/>
    <s v="corteiz"/>
    <s v="balaclava beanie"/>
    <s v="-"/>
    <s v="white"/>
    <n v="47"/>
    <d v="2022-01-16T00:00:00"/>
    <n v="80"/>
    <d v="2022-01-30T00:00:00"/>
    <x v="0"/>
    <m/>
    <n v="14"/>
    <x v="4"/>
    <n v="33"/>
    <n v="33"/>
    <n v="0.7021276595744681"/>
  </r>
  <r>
    <x v="0"/>
    <s v="whatsapp"/>
    <s v="jordan"/>
    <s v="1 high"/>
    <n v="7.5"/>
    <s v="atmosphere"/>
    <n v="205"/>
    <d v="2022-02-01T00:00:00"/>
    <n v="250"/>
    <d v="2022-02-03T00:00:00"/>
    <x v="1"/>
    <m/>
    <n v="2"/>
    <x v="3"/>
    <n v="45"/>
    <n v="45"/>
    <n v="0.21951219512195122"/>
  </r>
  <r>
    <x v="1"/>
    <s v="corteiz"/>
    <s v="corteiz"/>
    <s v="boxers"/>
    <s v="s"/>
    <s v="black"/>
    <n v="30"/>
    <d v="2021-12-12T00:00:00"/>
    <n v="55"/>
    <d v="2022-02-08T00:00:00"/>
    <x v="1"/>
    <m/>
    <n v="58"/>
    <x v="0"/>
    <n v="25"/>
    <n v="25"/>
    <n v="0.83333333333333337"/>
  </r>
  <r>
    <x v="0"/>
    <s v="trade"/>
    <s v="off white"/>
    <s v="dunk low"/>
    <n v="9"/>
    <s v="pine green"/>
    <n v="513"/>
    <d v="2021-12-22T00:00:00"/>
    <n v="650"/>
    <d v="2022-02-11T00:00:00"/>
    <x v="1"/>
    <m/>
    <n v="51"/>
    <x v="1"/>
    <n v="137"/>
    <n v="137"/>
    <n v="0.26705653021442494"/>
  </r>
  <r>
    <x v="0"/>
    <s v="ebay"/>
    <s v="jordan"/>
    <n v="4"/>
    <n v="8"/>
    <s v="red thunder"/>
    <n v="230"/>
    <d v="2022-01-14T00:00:00"/>
    <n v="350"/>
    <d v="2022-02-14T00:00:00"/>
    <x v="1"/>
    <m/>
    <n v="31"/>
    <x v="3"/>
    <n v="120"/>
    <n v="120"/>
    <n v="0.52173913043478259"/>
  </r>
  <r>
    <x v="1"/>
    <s v="trapstar"/>
    <s v="trapstar"/>
    <s v="irongate jacket"/>
    <s v="M"/>
    <s v="black"/>
    <n v="220"/>
    <d v="2022-02-13T00:00:00"/>
    <n v="300"/>
    <d v="2022-02-16T00:00:00"/>
    <x v="1"/>
    <m/>
    <n v="3"/>
    <x v="3"/>
    <n v="80"/>
    <n v="80"/>
    <n v="0.36363636363636365"/>
  </r>
  <r>
    <x v="1"/>
    <s v="ebay"/>
    <s v="corteiz"/>
    <s v="balaclava beanie"/>
    <s v="-"/>
    <s v="black"/>
    <n v="47"/>
    <d v="2022-01-16T00:00:00"/>
    <n v="75"/>
    <d v="2022-02-23T00:00:00"/>
    <x v="1"/>
    <m/>
    <n v="38"/>
    <x v="0"/>
    <n v="28"/>
    <n v="28"/>
    <n v="0.5957446808510638"/>
  </r>
  <r>
    <x v="0"/>
    <s v="ebay"/>
    <s v="jordan"/>
    <n v="5"/>
    <n v="10"/>
    <s v="what the"/>
    <n v="130"/>
    <d v="2022-02-11T00:00:00"/>
    <n v="185"/>
    <d v="2022-02-25T00:00:00"/>
    <x v="1"/>
    <m/>
    <n v="14"/>
    <x v="2"/>
    <n v="55"/>
    <n v="55"/>
    <n v="0.42307692307692307"/>
  </r>
  <r>
    <x v="1"/>
    <s v="trapstar"/>
    <s v="trapstar"/>
    <s v="irongate hooded tracksuit"/>
    <s v="M"/>
    <s v="black/red"/>
    <n v="240"/>
    <d v="2022-02-23T00:00:00"/>
    <n v="260"/>
    <d v="2022-02-25T00:00:00"/>
    <x v="1"/>
    <m/>
    <n v="2"/>
    <x v="3"/>
    <n v="20"/>
    <n v="20"/>
    <n v="8.3333333333333329E-2"/>
  </r>
  <r>
    <x v="1"/>
    <s v="trapstar"/>
    <s v="trapstar"/>
    <s v="hyperdrive hooded puffer"/>
    <s v="M"/>
    <s v="grey"/>
    <n v="215"/>
    <d v="2022-02-25T00:00:00"/>
    <n v="260"/>
    <d v="2022-02-28T00:00:00"/>
    <x v="1"/>
    <m/>
    <n v="3"/>
    <x v="3"/>
    <n v="45"/>
    <n v="45"/>
    <n v="0.20930232558139536"/>
  </r>
  <r>
    <x v="1"/>
    <s v="trapstar"/>
    <s v="trapstar"/>
    <s v="irongate t hoodie"/>
    <s v="M"/>
    <s v="black/camo"/>
    <n v="90"/>
    <d v="2022-02-25T00:00:00"/>
    <n v="100"/>
    <d v="2022-02-28T00:00:00"/>
    <x v="1"/>
    <m/>
    <n v="3"/>
    <x v="3"/>
    <n v="10"/>
    <n v="10"/>
    <n v="0.1111111111111111"/>
  </r>
  <r>
    <x v="1"/>
    <s v="trapstar"/>
    <s v="trapstar"/>
    <s v="irongate jacket"/>
    <s v="L"/>
    <s v="black"/>
    <n v="225.3"/>
    <d v="2022-03-14T00:00:00"/>
    <n v="300"/>
    <d v="2022-03-14T00:00:00"/>
    <x v="2"/>
    <m/>
    <n v="0"/>
    <x v="3"/>
    <n v="74.699999999999989"/>
    <n v="74.699999999999989"/>
    <n v="0.33155792276964041"/>
  </r>
  <r>
    <x v="1"/>
    <s v="corteiz"/>
    <s v="corteiz"/>
    <s v="balaclava lite"/>
    <s v="-"/>
    <s v="black/red"/>
    <n v="35"/>
    <d v="2022-02-13T00:00:00"/>
    <n v="65"/>
    <d v="2022-03-16T00:00:00"/>
    <x v="2"/>
    <m/>
    <n v="31"/>
    <x v="0"/>
    <n v="30"/>
    <n v="30"/>
    <n v="0.8571428571428571"/>
  </r>
  <r>
    <x v="0"/>
    <s v="nike"/>
    <s v="nike"/>
    <s v="dunk low"/>
    <n v="4.5"/>
    <s v="two tone grey"/>
    <n v="55"/>
    <d v="2022-03-01T00:00:00"/>
    <n v="90"/>
    <d v="2022-03-16T00:00:00"/>
    <x v="2"/>
    <m/>
    <n v="15"/>
    <x v="2"/>
    <n v="35"/>
    <n v="35"/>
    <n v="0.63636363636363635"/>
  </r>
  <r>
    <x v="1"/>
    <s v="trapstar"/>
    <s v="trapstar"/>
    <s v="irongate jacket"/>
    <s v="s"/>
    <s v="triple black"/>
    <n v="220"/>
    <d v="2021-12-31T00:00:00"/>
    <n v="225"/>
    <d v="2022-03-21T00:00:00"/>
    <x v="2"/>
    <m/>
    <n v="80"/>
    <x v="0"/>
    <n v="5"/>
    <n v="5"/>
    <n v="2.2727272727272728E-2"/>
  </r>
  <r>
    <x v="0"/>
    <s v="ebay"/>
    <s v="yeezy"/>
    <s v="700 v2"/>
    <n v="8.5"/>
    <s v="hospital blue"/>
    <n v="305"/>
    <d v="2022-02-22T00:00:00"/>
    <n v="353"/>
    <d v="2022-03-21T00:00:00"/>
    <x v="2"/>
    <m/>
    <n v="27"/>
    <x v="0"/>
    <n v="48"/>
    <n v="48"/>
    <n v="0.15737704918032788"/>
  </r>
  <r>
    <x v="1"/>
    <s v="trapstar"/>
    <s v="trapstar"/>
    <s v="irongate jacket"/>
    <s v="s"/>
    <s v="triple black"/>
    <n v="220"/>
    <d v="2021-12-31T00:00:00"/>
    <n v="255"/>
    <d v="2022-03-23T00:00:00"/>
    <x v="2"/>
    <m/>
    <n v="82"/>
    <x v="4"/>
    <n v="35"/>
    <n v="35"/>
    <n v="0.15909090909090909"/>
  </r>
  <r>
    <x v="0"/>
    <s v="ebay"/>
    <s v="jordan"/>
    <s v="1 low"/>
    <n v="8"/>
    <s v="laser blue"/>
    <n v="130"/>
    <d v="2022-02-26T00:00:00"/>
    <n v="162"/>
    <d v="2022-03-23T00:00:00"/>
    <x v="2"/>
    <m/>
    <n v="25"/>
    <x v="2"/>
    <n v="32"/>
    <n v="32"/>
    <n v="0.24615384615384617"/>
  </r>
  <r>
    <x v="1"/>
    <s v="trapstar"/>
    <s v="trapstar"/>
    <s v="irongate short set"/>
    <s v="L"/>
    <s v="black revolution"/>
    <n v="137.44999999999999"/>
    <d v="2022-03-31T00:00:00"/>
    <n v="200"/>
    <d v="2022-03-30T00:00:00"/>
    <x v="2"/>
    <m/>
    <n v="-1"/>
    <x v="3"/>
    <n v="62.550000000000011"/>
    <n v="62.550000000000011"/>
    <n v="0.45507457257184442"/>
  </r>
  <r>
    <x v="1"/>
    <s v="trapstar"/>
    <s v="trapstar"/>
    <s v="shooters hooded tracksuit"/>
    <s v="XL"/>
    <s v="black"/>
    <n v="180"/>
    <d v="2022-02-25T00:00:00"/>
    <n v="245"/>
    <d v="2022-04-05T00:00:00"/>
    <x v="3"/>
    <m/>
    <n v="39"/>
    <x v="4"/>
    <n v="65"/>
    <n v="65"/>
    <n v="0.3611111111111111"/>
  </r>
  <r>
    <x v="1"/>
    <s v="trapstar"/>
    <s v="trapstar"/>
    <s v="irongate hooded tracksuit"/>
    <s v="xs"/>
    <s v="ice"/>
    <n v="247"/>
    <d v="2022-02-27T00:00:00"/>
    <n v="288"/>
    <d v="2022-04-08T00:00:00"/>
    <x v="3"/>
    <m/>
    <n v="40"/>
    <x v="0"/>
    <n v="41"/>
    <n v="41"/>
    <n v="0.16599190283400811"/>
  </r>
  <r>
    <x v="3"/>
    <s v="amazon"/>
    <s v="apple"/>
    <s v="iphone 13 pro"/>
    <s v="-"/>
    <s v="graphite"/>
    <n v="270"/>
    <d v="2022-03-22T00:00:00"/>
    <n v="800"/>
    <d v="2022-04-09T00:00:00"/>
    <x v="3"/>
    <m/>
    <n v="18"/>
    <x v="0"/>
    <n v="530"/>
    <n v="530"/>
    <n v="1.962962962962963"/>
  </r>
  <r>
    <x v="0"/>
    <s v="nike"/>
    <s v="nike"/>
    <s v="dunk low"/>
    <n v="7"/>
    <s v="venice"/>
    <n v="90"/>
    <d v="2022-02-15T00:00:00"/>
    <n v="150"/>
    <d v="2022-04-14T00:00:00"/>
    <x v="3"/>
    <m/>
    <n v="58"/>
    <x v="3"/>
    <n v="60"/>
    <n v="60"/>
    <n v="0.66666666666666663"/>
  </r>
  <r>
    <x v="0"/>
    <s v="nike"/>
    <s v="nike"/>
    <s v="dunk low"/>
    <n v="8.5"/>
    <s v="next nature gym red"/>
    <n v="89.95"/>
    <d v="2022-03-31T00:00:00"/>
    <n v="176.76"/>
    <d v="2022-04-16T00:00:00"/>
    <x v="3"/>
    <m/>
    <n v="16"/>
    <x v="6"/>
    <n v="86.809999999999988"/>
    <n v="86.809999999999988"/>
    <n v="0.96509171762090029"/>
  </r>
  <r>
    <x v="0"/>
    <s v="bulk"/>
    <s v="jordan"/>
    <n v="4"/>
    <n v="8"/>
    <s v="red thunder"/>
    <n v="255"/>
    <d v="2022-01-17T00:00:00"/>
    <n v="295"/>
    <d v="2022-04-17T00:00:00"/>
    <x v="3"/>
    <m/>
    <n v="90"/>
    <x v="0"/>
    <n v="40"/>
    <n v="40"/>
    <n v="0.15686274509803921"/>
  </r>
  <r>
    <x v="0"/>
    <s v="bulk"/>
    <s v="jordan"/>
    <n v="4"/>
    <n v="8.5"/>
    <s v="red thunder"/>
    <n v="265"/>
    <d v="2022-01-17T00:00:00"/>
    <n v="290"/>
    <d v="2022-04-19T00:00:00"/>
    <x v="3"/>
    <m/>
    <n v="92"/>
    <x v="0"/>
    <n v="25"/>
    <n v="25"/>
    <n v="9.4339622641509441E-2"/>
  </r>
  <r>
    <x v="0"/>
    <s v="ebay"/>
    <s v="yeezy"/>
    <n v="700"/>
    <n v="9"/>
    <s v="mauve"/>
    <n v="130"/>
    <d v="2022-02-19T00:00:00"/>
    <n v="210"/>
    <d v="2022-04-21T00:00:00"/>
    <x v="3"/>
    <m/>
    <n v="61"/>
    <x v="0"/>
    <n v="80"/>
    <n v="80"/>
    <n v="0.61538461538461542"/>
  </r>
  <r>
    <x v="1"/>
    <s v="trapstar"/>
    <s v="trapstar"/>
    <s v="irongate zipped tracksuit"/>
    <s v="xs"/>
    <s v="grey ice "/>
    <n v="180.45"/>
    <d v="2022-03-31T00:00:00"/>
    <n v="250"/>
    <d v="2022-04-23T00:00:00"/>
    <x v="3"/>
    <m/>
    <n v="23"/>
    <x v="3"/>
    <n v="69.550000000000011"/>
    <n v="69.550000000000011"/>
    <n v="0.38542532557495157"/>
  </r>
  <r>
    <x v="0"/>
    <s v="ebay"/>
    <s v="jordan"/>
    <s v="1 mid"/>
    <n v="9.5"/>
    <s v="gym red"/>
    <n v="109.95"/>
    <d v="2022-04-07T00:00:00"/>
    <n v="155.51"/>
    <d v="2022-04-25T00:00:00"/>
    <x v="3"/>
    <m/>
    <n v="18"/>
    <x v="6"/>
    <n v="45.559999999999988"/>
    <n v="45.559999999999988"/>
    <n v="0.41437016825829909"/>
  </r>
  <r>
    <x v="0"/>
    <s v="ebay"/>
    <s v="jordan"/>
    <s v="1 mid"/>
    <n v="10"/>
    <s v="armory navy"/>
    <n v="155"/>
    <d v="2022-04-25T00:00:00"/>
    <n v="180"/>
    <d v="2022-04-25T00:00:00"/>
    <x v="3"/>
    <m/>
    <n v="0"/>
    <x v="4"/>
    <n v="25"/>
    <n v="25"/>
    <n v="0.16129032258064516"/>
  </r>
  <r>
    <x v="0"/>
    <s v="ebay"/>
    <s v="jordan"/>
    <s v="1 mid"/>
    <n v="8"/>
    <s v="particle grey/gym red"/>
    <n v="103"/>
    <d v="2022-02-27T00:00:00"/>
    <n v="158.66999999999999"/>
    <d v="2022-04-28T00:00:00"/>
    <x v="3"/>
    <m/>
    <n v="60"/>
    <x v="1"/>
    <n v="55.669999999999987"/>
    <n v="55.669999999999987"/>
    <n v="0.54048543689320372"/>
  </r>
  <r>
    <x v="1"/>
    <s v="trapstar"/>
    <s v="trapstar"/>
    <s v="trap league hooded tracksuit"/>
    <s v="M"/>
    <s v="grey"/>
    <n v="175.45"/>
    <d v="2022-05-06T00:00:00"/>
    <n v="220"/>
    <d v="2022-05-06T00:00:00"/>
    <x v="4"/>
    <m/>
    <n v="0"/>
    <x v="3"/>
    <n v="44.550000000000011"/>
    <n v="44.550000000000011"/>
    <n v="0.25391849529780575"/>
  </r>
  <r>
    <x v="0"/>
    <s v="bulk"/>
    <s v="jordan"/>
    <n v="4"/>
    <n v="4"/>
    <s v="lightning"/>
    <n v="135"/>
    <d v="2022-04-29T00:00:00"/>
    <n v="193.76"/>
    <d v="2022-05-08T00:00:00"/>
    <x v="4"/>
    <m/>
    <n v="9"/>
    <x v="6"/>
    <n v="58.759999999999991"/>
    <n v="58.759999999999991"/>
    <n v="0.43525925925925918"/>
  </r>
  <r>
    <x v="0"/>
    <s v="bulk"/>
    <s v="jordan"/>
    <n v="4"/>
    <n v="7"/>
    <s v="lightning"/>
    <n v="135"/>
    <d v="2022-04-29T00:00:00"/>
    <n v="285"/>
    <d v="2022-05-14T00:00:00"/>
    <x v="4"/>
    <m/>
    <n v="15"/>
    <x v="7"/>
    <n v="150"/>
    <n v="150"/>
    <n v="1.1111111111111112"/>
  </r>
  <r>
    <x v="0"/>
    <s v="nike"/>
    <s v="jordan"/>
    <s v="1 low"/>
    <n v="10.5"/>
    <s v="shadow toe"/>
    <n v="99.95"/>
    <d v="2022-04-07T00:00:00"/>
    <n v="134.26"/>
    <d v="2022-05-15T00:00:00"/>
    <x v="4"/>
    <m/>
    <n v="38"/>
    <x v="6"/>
    <n v="34.309999999999988"/>
    <n v="34.309999999999988"/>
    <n v="0.34327163581790882"/>
  </r>
  <r>
    <x v="0"/>
    <s v="bulk"/>
    <s v="jordan"/>
    <n v="4"/>
    <n v="7.5"/>
    <s v="red thunder"/>
    <n v="230"/>
    <d v="2022-01-14T00:00:00"/>
    <n v="295"/>
    <d v="2022-05-16T00:00:00"/>
    <x v="4"/>
    <m/>
    <n v="122"/>
    <x v="0"/>
    <n v="65"/>
    <n v="65"/>
    <n v="0.28260869565217389"/>
  </r>
  <r>
    <x v="1"/>
    <s v="bpm"/>
    <s v="bpm"/>
    <s v="broken planet zip hoodie"/>
    <s v="L"/>
    <s v="granite"/>
    <n v="5"/>
    <d v="2022-04-02T00:00:00"/>
    <n v="105"/>
    <d v="2022-05-24T00:00:00"/>
    <x v="4"/>
    <m/>
    <n v="52"/>
    <x v="0"/>
    <n v="100"/>
    <n v="100"/>
    <n v="20"/>
  </r>
  <r>
    <x v="3"/>
    <s v="stockx"/>
    <s v="nike"/>
    <s v="travis scott air force 1"/>
    <n v="9"/>
    <s v="sail"/>
    <n v="100"/>
    <d v="2022-04-24T00:00:00"/>
    <n v="695.52"/>
    <d v="2022-05-26T00:00:00"/>
    <x v="4"/>
    <m/>
    <n v="32"/>
    <x v="1"/>
    <n v="595.52"/>
    <n v="595.52"/>
    <n v="5.9551999999999996"/>
  </r>
  <r>
    <x v="1"/>
    <s v="bpm"/>
    <s v="bpm"/>
    <s v="outer space shorts"/>
    <s v="s"/>
    <s v="onyx"/>
    <n v="45"/>
    <d v="2022-04-02T00:00:00"/>
    <n v="52"/>
    <d v="2022-05-29T00:00:00"/>
    <x v="4"/>
    <m/>
    <n v="57"/>
    <x v="0"/>
    <n v="7"/>
    <n v="7"/>
    <n v="0.15555555555555556"/>
  </r>
  <r>
    <x v="1"/>
    <s v="ebay"/>
    <s v="fear of god"/>
    <s v="essentials hoodie ss20"/>
    <s v="M"/>
    <s v="black ss20"/>
    <n v="94.45"/>
    <d v="2022-05-30T00:00:00"/>
    <n v="140"/>
    <d v="2022-05-29T00:00:00"/>
    <x v="4"/>
    <m/>
    <n v="-1"/>
    <x v="3"/>
    <n v="45.55"/>
    <n v="45.55"/>
    <n v="0.48226574907358388"/>
  </r>
  <r>
    <x v="0"/>
    <s v="nike"/>
    <s v="nike"/>
    <s v="dunk low"/>
    <n v="7.5"/>
    <s v="coconut milk"/>
    <n v="89.95"/>
    <d v="2022-04-28T00:00:00"/>
    <n v="105"/>
    <d v="2022-05-31T00:00:00"/>
    <x v="4"/>
    <m/>
    <n v="33"/>
    <x v="7"/>
    <n v="15.049999999999997"/>
    <n v="15.049999999999997"/>
    <n v="0.16731517509727623"/>
  </r>
  <r>
    <x v="1"/>
    <s v="corteiz"/>
    <s v="corteiz"/>
    <s v="tank top"/>
    <s v="s"/>
    <s v="white 4starz"/>
    <n v="34.5"/>
    <d v="2022-03-27T00:00:00"/>
    <n v="60"/>
    <d v="2022-06-05T00:00:00"/>
    <x v="5"/>
    <m/>
    <n v="70"/>
    <x v="0"/>
    <n v="25.5"/>
    <n v="25.5"/>
    <n v="0.73913043478260865"/>
  </r>
  <r>
    <x v="0"/>
    <s v="bulk"/>
    <s v="jordan"/>
    <s v="1 high"/>
    <n v="9"/>
    <s v="atmosphere"/>
    <n v="200"/>
    <d v="2021-12-21T00:00:00"/>
    <n v="200"/>
    <d v="2022-06-09T00:00:00"/>
    <x v="5"/>
    <m/>
    <n v="170"/>
    <x v="0"/>
    <n v="0"/>
    <n v="0"/>
    <n v="0"/>
  </r>
  <r>
    <x v="0"/>
    <s v="nike"/>
    <s v="jordan"/>
    <s v="1 low"/>
    <n v="10.5"/>
    <s v="bred toe"/>
    <n v="99.95"/>
    <d v="2022-04-07T00:00:00"/>
    <n v="103.51"/>
    <d v="2022-06-12T00:00:00"/>
    <x v="5"/>
    <m/>
    <n v="66"/>
    <x v="6"/>
    <n v="3.5600000000000023"/>
    <n v="3.5600000000000023"/>
    <n v="3.561780890445225E-2"/>
  </r>
  <r>
    <x v="1"/>
    <s v="corteiz"/>
    <s v="corteiz"/>
    <s v="alcatraz tee"/>
    <s v="M"/>
    <s v="4starz white"/>
    <n v="30"/>
    <d v="2022-05-27T00:00:00"/>
    <n v="70"/>
    <d v="2022-06-17T00:00:00"/>
    <x v="5"/>
    <m/>
    <n v="21"/>
    <x v="1"/>
    <n v="40"/>
    <n v="40"/>
    <n v="1.3333333333333333"/>
  </r>
  <r>
    <x v="1"/>
    <s v="bpm"/>
    <s v="bpm"/>
    <s v="plenty of sunshine tshirt"/>
    <s v="M"/>
    <s v="dark brown"/>
    <n v="35"/>
    <d v="2022-04-02T00:00:00"/>
    <n v="65"/>
    <d v="2022-06-22T00:00:00"/>
    <x v="5"/>
    <m/>
    <n v="81"/>
    <x v="0"/>
    <n v="30"/>
    <n v="30"/>
    <n v="0.8571428571428571"/>
  </r>
  <r>
    <x v="1"/>
    <s v="corteiz"/>
    <s v="corteiz"/>
    <s v="cargo shorts"/>
    <s v="s"/>
    <s v="black"/>
    <n v="75"/>
    <d v="2022-05-27T00:00:00"/>
    <n v="92.25"/>
    <d v="2022-06-24T00:00:00"/>
    <x v="5"/>
    <m/>
    <n v="28"/>
    <x v="1"/>
    <n v="17.25"/>
    <n v="17.25"/>
    <n v="0.23"/>
  </r>
  <r>
    <x v="0"/>
    <s v="nike"/>
    <s v="jordan"/>
    <s v="1 low"/>
    <n v="7"/>
    <s v="bred toe"/>
    <n v="100"/>
    <d v="2022-01-04T00:00:00"/>
    <n v="100"/>
    <d v="2022-06-27T00:00:00"/>
    <x v="5"/>
    <m/>
    <n v="174"/>
    <x v="6"/>
    <n v="0"/>
    <n v="0"/>
    <n v="0"/>
  </r>
  <r>
    <x v="0"/>
    <s v="adidas"/>
    <s v="yeezy"/>
    <n v="700"/>
    <n v="7"/>
    <s v="dark glow"/>
    <n v="170"/>
    <d v="2022-06-24T00:00:00"/>
    <n v="175.76"/>
    <d v="2022-06-28T00:00:00"/>
    <x v="5"/>
    <m/>
    <n v="4"/>
    <x v="6"/>
    <n v="5.7599999999999909"/>
    <n v="5.7599999999999909"/>
    <n v="3.3882352941176419E-2"/>
  </r>
  <r>
    <x v="0"/>
    <s v="ebay"/>
    <s v="jordan"/>
    <s v="1 low"/>
    <n v="8.5"/>
    <s v="arctic punch"/>
    <n v="91"/>
    <d v="2022-05-26T00:00:00"/>
    <n v="130"/>
    <d v="2022-07-01T00:00:00"/>
    <x v="6"/>
    <m/>
    <n v="36"/>
    <x v="7"/>
    <n v="39"/>
    <n v="39"/>
    <n v="0.42857142857142855"/>
  </r>
  <r>
    <x v="1"/>
    <s v="corteiz"/>
    <s v="corteiz"/>
    <s v="guerillaz cargos"/>
    <s v="s"/>
    <s v="purple"/>
    <n v="127.5"/>
    <d v="2022-03-27T00:00:00"/>
    <n v="143.5"/>
    <d v="2022-07-02T00:00:00"/>
    <x v="6"/>
    <m/>
    <n v="97"/>
    <x v="1"/>
    <n v="16"/>
    <n v="16"/>
    <n v="0.12549019607843137"/>
  </r>
  <r>
    <x v="0"/>
    <s v="nike"/>
    <s v="jordan"/>
    <s v="1 low"/>
    <n v="11"/>
    <s v="bred toe"/>
    <n v="100"/>
    <d v="2022-01-04T00:00:00"/>
    <n v="100"/>
    <d v="2022-07-03T00:00:00"/>
    <x v="6"/>
    <m/>
    <n v="180"/>
    <x v="6"/>
    <n v="0"/>
    <n v="0"/>
    <n v="0"/>
  </r>
  <r>
    <x v="0"/>
    <s v="ebay"/>
    <s v="jordan"/>
    <n v="4"/>
    <n v="8"/>
    <s v="what the"/>
    <n v="316"/>
    <d v="2022-05-29T00:00:00"/>
    <n v="450"/>
    <d v="2022-07-03T00:00:00"/>
    <x v="6"/>
    <m/>
    <n v="35"/>
    <x v="3"/>
    <n v="134"/>
    <n v="134"/>
    <n v="0.42405063291139239"/>
  </r>
  <r>
    <x v="0"/>
    <s v="ebay"/>
    <s v="jordan"/>
    <s v="1 mid"/>
    <n v="10"/>
    <s v="aqua purple"/>
    <n v="145.5"/>
    <d v="2022-05-30T00:00:00"/>
    <n v="180"/>
    <d v="2022-07-03T00:00:00"/>
    <x v="6"/>
    <m/>
    <n v="34"/>
    <x v="3"/>
    <n v="34.5"/>
    <n v="34.5"/>
    <n v="0.23711340206185566"/>
  </r>
  <r>
    <x v="0"/>
    <s v="ebay"/>
    <s v="jordan"/>
    <s v="1 mid"/>
    <n v="9.5"/>
    <s v="neutral grey 2001"/>
    <n v="100"/>
    <d v="2022-02-15T00:00:00"/>
    <n v="145"/>
    <d v="2022-07-04T00:00:00"/>
    <x v="6"/>
    <m/>
    <n v="139"/>
    <x v="0"/>
    <n v="45"/>
    <n v="45"/>
    <n v="0.45"/>
  </r>
  <r>
    <x v="1"/>
    <s v="corteiz"/>
    <s v="corteiz"/>
    <s v="balaclava beanie"/>
    <s v="-"/>
    <s v="pink"/>
    <n v="35"/>
    <d v="2022-02-13T00:00:00"/>
    <n v="50"/>
    <d v="2022-07-10T00:00:00"/>
    <x v="6"/>
    <m/>
    <n v="147"/>
    <x v="0"/>
    <n v="15"/>
    <n v="15"/>
    <n v="0.42857142857142855"/>
  </r>
  <r>
    <x v="0"/>
    <s v="ebay"/>
    <s v="jordan"/>
    <n v="4"/>
    <n v="4"/>
    <s v="diy"/>
    <n v="135"/>
    <d v="2022-04-29T00:00:00"/>
    <n v="150"/>
    <d v="2022-07-14T00:00:00"/>
    <x v="6"/>
    <m/>
    <n v="76"/>
    <x v="6"/>
    <n v="15"/>
    <n v="15"/>
    <n v="0.1111111111111111"/>
  </r>
  <r>
    <x v="0"/>
    <s v="ebay"/>
    <s v="jordan"/>
    <n v="6"/>
    <n v="9.5"/>
    <s v="psg"/>
    <n v="200"/>
    <d v="2022-07-19T00:00:00"/>
    <n v="250"/>
    <d v="2022-07-19T00:00:00"/>
    <x v="6"/>
    <m/>
    <n v="0"/>
    <x v="3"/>
    <n v="50"/>
    <n v="50"/>
    <n v="0.25"/>
  </r>
  <r>
    <x v="0"/>
    <s v="nike"/>
    <s v="jordan"/>
    <s v="1 mid"/>
    <n v="6"/>
    <s v="madder root"/>
    <n v="69.95"/>
    <d v="2022-07-16T00:00:00"/>
    <n v="82.26"/>
    <d v="2022-07-20T00:00:00"/>
    <x v="6"/>
    <m/>
    <n v="4"/>
    <x v="6"/>
    <n v="12.310000000000002"/>
    <n v="12.310000000000002"/>
    <n v="0.1759828448892066"/>
  </r>
  <r>
    <x v="0"/>
    <s v="ebay"/>
    <s v="jordan"/>
    <s v="11 high"/>
    <n v="5.5"/>
    <s v="win like 96"/>
    <n v="135.30000000000001"/>
    <d v="2021-11-04T00:00:00"/>
    <n v="140"/>
    <d v="2022-07-21T00:00:00"/>
    <x v="6"/>
    <m/>
    <n v="259"/>
    <x v="8"/>
    <n v="4.6999999999999886"/>
    <n v="4.6999999999999886"/>
    <n v="3.4737620103473678E-2"/>
  </r>
  <r>
    <x v="0"/>
    <s v="ebay"/>
    <s v="jordan"/>
    <n v="4"/>
    <n v="4"/>
    <s v="diy"/>
    <n v="135"/>
    <d v="2022-04-29T00:00:00"/>
    <n v="150.26"/>
    <d v="2022-07-23T00:00:00"/>
    <x v="6"/>
    <m/>
    <n v="85"/>
    <x v="6"/>
    <n v="15.259999999999991"/>
    <n v="15.259999999999991"/>
    <n v="0.11303703703703696"/>
  </r>
  <r>
    <x v="0"/>
    <s v="snkrs"/>
    <s v="jordan"/>
    <s v="1 low"/>
    <n v="7.5"/>
    <s v="travis reverse mocha"/>
    <n v="144.94999999999999"/>
    <d v="2022-07-21T00:00:00"/>
    <n v="1110"/>
    <d v="2022-07-24T00:00:00"/>
    <x v="6"/>
    <m/>
    <n v="3"/>
    <x v="8"/>
    <n v="965.05"/>
    <n v="965.05"/>
    <n v="6.6578130389789587"/>
  </r>
  <r>
    <x v="1"/>
    <s v="trapstar"/>
    <s v="trapstar"/>
    <s v="irongate hooded tracksuit"/>
    <s v="xs"/>
    <s v="black camo"/>
    <n v="175.45"/>
    <d v="2022-05-10T00:00:00"/>
    <n v="226"/>
    <d v="2022-09-20T00:00:00"/>
    <x v="7"/>
    <m/>
    <n v="133"/>
    <x v="0"/>
    <n v="50.550000000000011"/>
    <n v="50.550000000000011"/>
    <n v="0.28811627244229132"/>
  </r>
  <r>
    <x v="0"/>
    <s v="ebay"/>
    <s v="jordan"/>
    <n v="5"/>
    <n v="9.5"/>
    <s v="bluebird"/>
    <n v="198"/>
    <d v="2022-06-06T00:00:00"/>
    <n v="246.25"/>
    <d v="2022-09-22T00:00:00"/>
    <x v="7"/>
    <m/>
    <n v="108"/>
    <x v="1"/>
    <n v="48.25"/>
    <n v="48.25"/>
    <n v="0.24368686868686867"/>
  </r>
  <r>
    <x v="1"/>
    <s v="nike"/>
    <s v="nike"/>
    <s v="psg strike tracksuit"/>
    <s v="L"/>
    <s v="black"/>
    <n v="114.95"/>
    <d v="2022-09-22T00:00:00"/>
    <n v="150"/>
    <d v="2022-09-24T00:00:00"/>
    <x v="7"/>
    <m/>
    <n v="2"/>
    <x v="3"/>
    <n v="35.049999999999997"/>
    <n v="35.049999999999997"/>
    <n v="0.3049151805132666"/>
  </r>
  <r>
    <x v="0"/>
    <s v="nike"/>
    <s v="jordan"/>
    <s v="1 mid"/>
    <n v="5"/>
    <s v="madder root"/>
    <n v="56"/>
    <d v="2022-07-24T00:00:00"/>
    <n v="112"/>
    <d v="2022-09-26T00:00:00"/>
    <x v="7"/>
    <m/>
    <n v="64"/>
    <x v="6"/>
    <n v="56"/>
    <n v="56"/>
    <n v="1"/>
  </r>
  <r>
    <x v="0"/>
    <s v="adidas"/>
    <s v="yeezy"/>
    <s v="slide"/>
    <n v="14"/>
    <s v="bone"/>
    <n v="60"/>
    <d v="2022-09-24T00:00:00"/>
    <n v="95"/>
    <d v="2022-09-26T00:00:00"/>
    <x v="7"/>
    <m/>
    <n v="2"/>
    <x v="2"/>
    <n v="35"/>
    <n v="35"/>
    <n v="0.58333333333333337"/>
  </r>
  <r>
    <x v="1"/>
    <s v="corteiz"/>
    <s v="corteiz"/>
    <s v="tank top"/>
    <s v="s"/>
    <s v="triple black"/>
    <n v="35"/>
    <d v="2022-05-27T00:00:00"/>
    <n v="83.5"/>
    <d v="2022-09-28T00:00:00"/>
    <x v="7"/>
    <m/>
    <n v="124"/>
    <x v="1"/>
    <n v="48.5"/>
    <n v="48.5"/>
    <n v="1.3857142857142857"/>
  </r>
  <r>
    <x v="0"/>
    <s v="nike"/>
    <s v="jordan"/>
    <s v="1 mid"/>
    <n v="6"/>
    <s v="madder root"/>
    <n v="56"/>
    <d v="2022-07-24T00:00:00"/>
    <n v="103.51"/>
    <d v="2022-09-28T00:00:00"/>
    <x v="7"/>
    <m/>
    <n v="66"/>
    <x v="6"/>
    <n v="47.510000000000005"/>
    <n v="47.510000000000005"/>
    <n v="0.84839285714285728"/>
  </r>
  <r>
    <x v="0"/>
    <s v="adidas"/>
    <s v="yeezy"/>
    <s v="slide"/>
    <s v="10k"/>
    <s v="onyx"/>
    <n v="35"/>
    <d v="2022-07-25T00:00:00"/>
    <n v="60"/>
    <d v="2022-09-28T00:00:00"/>
    <x v="7"/>
    <m/>
    <n v="65"/>
    <x v="2"/>
    <n v="25"/>
    <n v="25"/>
    <n v="0.7142857142857143"/>
  </r>
  <r>
    <x v="1"/>
    <s v="trapstar"/>
    <s v="trapstar"/>
    <s v="irongate hooded tracksuit"/>
    <s v="s"/>
    <s v="grey ice 2.0"/>
    <n v="172.73"/>
    <d v="2022-04-29T00:00:00"/>
    <n v="230"/>
    <d v="2022-10-17T00:00:00"/>
    <x v="8"/>
    <m/>
    <n v="171"/>
    <x v="8"/>
    <n v="57.27000000000001"/>
    <n v="57.27000000000001"/>
    <n v="0.33155792276964058"/>
  </r>
  <r>
    <x v="0"/>
    <s v="nike"/>
    <s v="nike"/>
    <s v="dunk low"/>
    <n v="6"/>
    <s v="valerian blue"/>
    <n v="89.95"/>
    <d v="2022-07-16T00:00:00"/>
    <n v="205.51"/>
    <d v="2022-10-21T00:00:00"/>
    <x v="8"/>
    <m/>
    <n v="97"/>
    <x v="6"/>
    <n v="115.55999999999999"/>
    <n v="115.55999999999999"/>
    <n v="1.2847137298499165"/>
  </r>
  <r>
    <x v="0"/>
    <s v="pds"/>
    <s v="jordan"/>
    <s v="1 mid"/>
    <n v="5.5"/>
    <s v="shadow"/>
    <n v="110"/>
    <d v="2022-10-21T00:00:00"/>
    <n v="146.01"/>
    <d v="2022-11-01T00:00:00"/>
    <x v="9"/>
    <m/>
    <n v="11"/>
    <x v="6"/>
    <n v="36.009999999999991"/>
    <n v="36.009999999999991"/>
    <n v="0.3273636363636363"/>
  </r>
  <r>
    <x v="0"/>
    <s v="whatsapp"/>
    <s v="jordan"/>
    <n v="4"/>
    <n v="4.5"/>
    <s v="infrared"/>
    <n v="200"/>
    <d v="2022-11-01T00:00:00"/>
    <n v="255"/>
    <d v="2022-11-01T00:00:00"/>
    <x v="9"/>
    <m/>
    <n v="0"/>
    <x v="4"/>
    <n v="55"/>
    <n v="55"/>
    <n v="0.27500000000000002"/>
  </r>
  <r>
    <x v="1"/>
    <s v="corteiz"/>
    <s v="corteiz"/>
    <s v="alcatraz tee"/>
    <s v="M"/>
    <s v="black"/>
    <n v="32.5"/>
    <d v="2022-10-31T00:00:00"/>
    <n v="70"/>
    <d v="2022-11-06T00:00:00"/>
    <x v="9"/>
    <m/>
    <n v="6"/>
    <x v="9"/>
    <n v="37.5"/>
    <n v="37.5"/>
    <n v="1.1538461538461537"/>
  </r>
  <r>
    <x v="0"/>
    <s v="nike"/>
    <s v="nike"/>
    <s v="dunk low"/>
    <n v="11.5"/>
    <s v="valerian blue"/>
    <n v="89.95"/>
    <d v="2022-07-16T00:00:00"/>
    <n v="175.76"/>
    <d v="2022-11-07T00:00:00"/>
    <x v="9"/>
    <m/>
    <n v="114"/>
    <x v="6"/>
    <n v="85.809999999999988"/>
    <n v="85.809999999999988"/>
    <n v="0.95397443023902151"/>
  </r>
  <r>
    <x v="0"/>
    <s v="pds"/>
    <s v="jordan"/>
    <s v="1 mid"/>
    <n v="12"/>
    <s v="curry"/>
    <n v="88"/>
    <d v="2022-10-21T00:00:00"/>
    <n v="124.76"/>
    <d v="2022-11-23T00:00:00"/>
    <x v="9"/>
    <m/>
    <n v="33"/>
    <x v="6"/>
    <n v="36.760000000000005"/>
    <n v="36.760000000000005"/>
    <n v="0.41772727272727278"/>
  </r>
  <r>
    <x v="0"/>
    <s v="pds"/>
    <s v="jordan"/>
    <s v="1 mid"/>
    <n v="5"/>
    <s v="shadow"/>
    <n v="110"/>
    <d v="2022-11-04T00:00:00"/>
    <n v="171.51"/>
    <d v="2022-11-23T00:00:00"/>
    <x v="9"/>
    <m/>
    <n v="19"/>
    <x v="6"/>
    <n v="61.509999999999991"/>
    <n v="61.509999999999991"/>
    <n v="0.55918181818181811"/>
  </r>
  <r>
    <x v="1"/>
    <s v="bpm"/>
    <s v="bpm"/>
    <s v="hidden in the dark hoodie"/>
    <s v="M"/>
    <s v="grey"/>
    <n v="100"/>
    <d v="2022-10-30T00:00:00"/>
    <n v="142.12"/>
    <d v="2022-11-25T00:00:00"/>
    <x v="9"/>
    <m/>
    <n v="26"/>
    <x v="1"/>
    <n v="42.120000000000005"/>
    <n v="42.120000000000005"/>
    <n v="0.42120000000000002"/>
  </r>
  <r>
    <x v="1"/>
    <s v="trapstar"/>
    <s v="trapstar"/>
    <s v="irongate hooded tracksuit"/>
    <s v="s"/>
    <s v="black ice 2.0"/>
    <n v="172.73"/>
    <d v="2022-04-29T00:00:00"/>
    <n v="209.48"/>
    <d v="2022-12-01T00:00:00"/>
    <x v="10"/>
    <m/>
    <n v="216"/>
    <x v="1"/>
    <n v="36.75"/>
    <n v="36.75"/>
    <n v="0.21275979852949692"/>
  </r>
  <r>
    <x v="0"/>
    <s v="pds"/>
    <s v="jordan"/>
    <s v="1 high"/>
    <n v="5"/>
    <s v="visionaire"/>
    <n v="122.4"/>
    <d v="2022-11-04T00:00:00"/>
    <n v="141.76"/>
    <d v="2022-12-09T00:00:00"/>
    <x v="10"/>
    <m/>
    <n v="35"/>
    <x v="6"/>
    <n v="19.359999999999985"/>
    <n v="19.359999999999985"/>
    <n v="0.15816993464052276"/>
  </r>
  <r>
    <x v="0"/>
    <s v="bulk"/>
    <s v="jordan"/>
    <s v="1 high"/>
    <n v="4.5"/>
    <s v="atmosphere"/>
    <n v="200"/>
    <d v="2022-01-10T00:00:00"/>
    <m/>
    <m/>
    <x v="11"/>
    <n v="200"/>
    <s v=""/>
    <x v="10"/>
    <n v="0"/>
    <s v=""/>
    <n v="0"/>
  </r>
  <r>
    <x v="1"/>
    <s v="trapstar"/>
    <s v="trapstar"/>
    <s v="irongate short set"/>
    <s v="L"/>
    <s v="grey revolution"/>
    <n v="137.44999999999999"/>
    <d v="2022-03-31T00:00:00"/>
    <m/>
    <m/>
    <x v="11"/>
    <n v="180"/>
    <s v=""/>
    <x v="10"/>
    <n v="42.550000000000011"/>
    <s v=""/>
    <n v="0.30956711531465997"/>
  </r>
  <r>
    <x v="1"/>
    <s v="bpm"/>
    <s v="bpm"/>
    <s v="dark hours sweatpants"/>
    <s v="s"/>
    <s v="onyx"/>
    <n v="55"/>
    <d v="2022-04-02T00:00:00"/>
    <m/>
    <m/>
    <x v="11"/>
    <n v="100"/>
    <s v=""/>
    <x v="10"/>
    <n v="45"/>
    <s v=""/>
    <n v="0.81818181818181823"/>
  </r>
  <r>
    <x v="1"/>
    <s v="bpm"/>
    <s v="bpm"/>
    <s v="skeleton hoodie"/>
    <s v="s"/>
    <s v="onyx"/>
    <n v="85"/>
    <d v="2022-04-02T00:00:00"/>
    <m/>
    <m/>
    <x v="11"/>
    <n v="100"/>
    <s v=""/>
    <x v="10"/>
    <n v="15"/>
    <s v=""/>
    <n v="0.17647058823529413"/>
  </r>
  <r>
    <x v="0"/>
    <s v="ebay"/>
    <s v="jordan"/>
    <s v="1 low"/>
    <n v="7"/>
    <s v="noble red"/>
    <n v="70.45"/>
    <d v="2022-05-27T00:00:00"/>
    <m/>
    <m/>
    <x v="11"/>
    <n v="100"/>
    <s v=""/>
    <x v="10"/>
    <n v="29.549999999999997"/>
    <s v=""/>
    <n v="0.4194464158977998"/>
  </r>
  <r>
    <x v="1"/>
    <s v="trapstar"/>
    <s v="trapstar"/>
    <s v="irongate short set"/>
    <s v="xs"/>
    <s v="grey/dazzling blue"/>
    <n v="140.44999999999999"/>
    <d v="2022-05-30T00:00:00"/>
    <m/>
    <m/>
    <x v="11"/>
    <n v="180"/>
    <s v=""/>
    <x v="10"/>
    <n v="39.550000000000011"/>
    <s v=""/>
    <n v="0.28159487362050561"/>
  </r>
  <r>
    <x v="0"/>
    <s v="nike"/>
    <s v="nike"/>
    <s v="dunk high"/>
    <n v="5.5"/>
    <s v="champs"/>
    <n v="114.95"/>
    <d v="2022-07-16T00:00:00"/>
    <m/>
    <m/>
    <x v="11"/>
    <n v="130"/>
    <s v=""/>
    <x v="10"/>
    <n v="15.049999999999997"/>
    <s v=""/>
    <n v="0.1309264897781644"/>
  </r>
  <r>
    <x v="0"/>
    <s v="nike"/>
    <s v="nike"/>
    <s v="dunk high"/>
    <n v="11.5"/>
    <s v="champs"/>
    <n v="114.95"/>
    <d v="2022-07-16T00:00:00"/>
    <m/>
    <m/>
    <x v="11"/>
    <n v="130"/>
    <s v=""/>
    <x v="10"/>
    <n v="15.049999999999997"/>
    <s v=""/>
    <n v="0.1309264897781644"/>
  </r>
  <r>
    <x v="0"/>
    <s v="bulk"/>
    <s v="jordan"/>
    <n v="4"/>
    <m/>
    <s v="black canvas"/>
    <n v="225"/>
    <d v="2022-09-29T00:00:00"/>
    <m/>
    <m/>
    <x v="11"/>
    <n v="300"/>
    <m/>
    <x v="10"/>
    <n v="75"/>
    <s v=""/>
    <n v="0.33333333333333331"/>
  </r>
  <r>
    <x v="0"/>
    <s v="ebay"/>
    <s v="jordan"/>
    <s v="1 low"/>
    <n v="8"/>
    <s v="shadow"/>
    <n v="114.45"/>
    <d v="2022-09-30T00:00:00"/>
    <m/>
    <m/>
    <x v="11"/>
    <n v="150"/>
    <m/>
    <x v="10"/>
    <n v="35.549999999999997"/>
    <s v=""/>
    <n v="0.31061598951507208"/>
  </r>
  <r>
    <x v="0"/>
    <s v="ebay"/>
    <s v="jordan"/>
    <s v="1 mid"/>
    <n v="8"/>
    <s v="gym red"/>
    <n v="97.95"/>
    <d v="2022-09-30T00:00:00"/>
    <m/>
    <m/>
    <x v="11"/>
    <n v="120"/>
    <m/>
    <x v="10"/>
    <n v="22.049999999999997"/>
    <s v=""/>
    <n v="0.22511485451761098"/>
  </r>
  <r>
    <x v="1"/>
    <s v="corvidae"/>
    <s v="corvidae"/>
    <s v="puffer jacket"/>
    <s v="M"/>
    <s v="matte black"/>
    <n v="157"/>
    <d v="2022-10-07T00:00:00"/>
    <m/>
    <m/>
    <x v="11"/>
    <n v="250"/>
    <m/>
    <x v="10"/>
    <n v="93"/>
    <s v=""/>
    <n v="0.59235668789808915"/>
  </r>
  <r>
    <x v="0"/>
    <s v="bulk"/>
    <s v="nike"/>
    <s v="dunk low"/>
    <n v="4.5"/>
    <s v="peach cream"/>
    <n v="115"/>
    <d v="2022-10-13T00:00:00"/>
    <m/>
    <m/>
    <x v="11"/>
    <n v="130"/>
    <m/>
    <x v="10"/>
    <n v="15"/>
    <s v=""/>
    <n v="0.13043478260869565"/>
  </r>
  <r>
    <x v="0"/>
    <s v="bulk"/>
    <s v="nike"/>
    <s v="dunk low"/>
    <n v="6"/>
    <s v="peach cream"/>
    <n v="115"/>
    <d v="2022-10-13T00:00:00"/>
    <m/>
    <m/>
    <x v="11"/>
    <n v="130"/>
    <m/>
    <x v="10"/>
    <n v="15"/>
    <s v=""/>
    <n v="0.13043478260869565"/>
  </r>
  <r>
    <x v="0"/>
    <s v="bulk"/>
    <s v="nike"/>
    <s v="dunk low"/>
    <n v="6"/>
    <s v="peach cream"/>
    <n v="115"/>
    <d v="2022-10-13T00:00:00"/>
    <m/>
    <m/>
    <x v="11"/>
    <n v="130"/>
    <m/>
    <x v="10"/>
    <n v="15"/>
    <s v=""/>
    <n v="0.13043478260869565"/>
  </r>
  <r>
    <x v="0"/>
    <s v="bulk"/>
    <s v="jordan"/>
    <s v="1 mid"/>
    <n v="5.5"/>
    <s v="ice blue"/>
    <n v="104"/>
    <d v="2022-10-27T00:00:00"/>
    <m/>
    <m/>
    <x v="11"/>
    <n v="150"/>
    <m/>
    <x v="10"/>
    <n v="46"/>
    <s v=""/>
    <n v="0.44230769230769229"/>
  </r>
  <r>
    <x v="0"/>
    <s v="bulk"/>
    <s v="jordan"/>
    <s v="1 mid"/>
    <n v="6"/>
    <s v="ice blue"/>
    <n v="104"/>
    <d v="2022-10-27T00:00:00"/>
    <m/>
    <m/>
    <x v="11"/>
    <n v="150"/>
    <m/>
    <x v="10"/>
    <n v="46"/>
    <s v=""/>
    <n v="0.44230769230769229"/>
  </r>
  <r>
    <x v="1"/>
    <s v="corteiz"/>
    <s v="corteiz"/>
    <s v="balaclava beanie"/>
    <s v="-"/>
    <s v="grey"/>
    <n v="32.5"/>
    <d v="2022-10-31T00:00:00"/>
    <m/>
    <m/>
    <x v="11"/>
    <n v="60"/>
    <m/>
    <x v="10"/>
    <n v="27.5"/>
    <s v=""/>
    <n v="0.84615384615384615"/>
  </r>
  <r>
    <x v="1"/>
    <s v="dolly mix"/>
    <s v="dolly mix"/>
    <s v="dolly mix hoodie"/>
    <s v="L"/>
    <s v="black/yellow"/>
    <n v="65"/>
    <d v="2022-11-06T00:00:00"/>
    <m/>
    <m/>
    <x v="11"/>
    <n v="70"/>
    <m/>
    <x v="10"/>
    <n v="5"/>
    <s v=""/>
    <n v="7.6923076923076927E-2"/>
  </r>
  <r>
    <x v="1"/>
    <s v="p45"/>
    <s v="p45"/>
    <s v="p45 cap"/>
    <s v="-"/>
    <s v="blue"/>
    <n v="40"/>
    <d v="2022-11-08T00:00:00"/>
    <m/>
    <m/>
    <x v="11"/>
    <n v="50"/>
    <m/>
    <x v="10"/>
    <n v="10"/>
    <s v=""/>
    <n v="0.25"/>
  </r>
  <r>
    <x v="0"/>
    <s v="office"/>
    <s v="nike"/>
    <s v="dunk low"/>
    <n v="9"/>
    <s v="phantom"/>
    <n v="100"/>
    <d v="2022-11-15T00:00:00"/>
    <m/>
    <m/>
    <x v="11"/>
    <n v="110"/>
    <m/>
    <x v="10"/>
    <n v="10"/>
    <s v=""/>
    <n v="0.1"/>
  </r>
  <r>
    <x v="0"/>
    <s v="end"/>
    <s v="jordan"/>
    <s v="1 mid"/>
    <n v="9.5"/>
    <s v="olive"/>
    <n v="92"/>
    <d v="2022-11-23T00:00:00"/>
    <m/>
    <m/>
    <x v="11"/>
    <n v="130"/>
    <m/>
    <x v="10"/>
    <n v="38"/>
    <s v=""/>
    <n v="0.41304347826086957"/>
  </r>
  <r>
    <x v="0"/>
    <s v="end"/>
    <s v="jordan"/>
    <s v="1 mid"/>
    <n v="9.5"/>
    <s v="olive"/>
    <n v="92"/>
    <d v="2022-11-23T00:00:00"/>
    <m/>
    <m/>
    <x v="11"/>
    <n v="130"/>
    <m/>
    <x v="10"/>
    <n v="38"/>
    <s v=""/>
    <n v="0.41304347826086957"/>
  </r>
  <r>
    <x v="1"/>
    <s v="badfriend"/>
    <s v="badfriend"/>
    <s v="balaclava"/>
    <s v="-"/>
    <s v="black"/>
    <n v="24.96"/>
    <d v="2022-11-25T00:00:00"/>
    <m/>
    <m/>
    <x v="11"/>
    <n v="40"/>
    <m/>
    <x v="10"/>
    <n v="15.04"/>
    <s v=""/>
    <n v="0.60256410256410253"/>
  </r>
  <r>
    <x v="1"/>
    <s v="bpm"/>
    <s v="bpm"/>
    <s v="mystery tee"/>
    <s v="M"/>
    <s v="mystery"/>
    <n v="35"/>
    <d v="2022-11-25T00:00:00"/>
    <m/>
    <m/>
    <x v="11"/>
    <n v="50"/>
    <m/>
    <x v="10"/>
    <n v="15"/>
    <s v=""/>
    <n v="0.42857142857142855"/>
  </r>
  <r>
    <x v="1"/>
    <s v="trapstar"/>
    <s v="trapstar"/>
    <s v="jacquard windbreaker"/>
    <s v="M"/>
    <s v="black"/>
    <n v="85"/>
    <d v="2022-11-28T00:00:00"/>
    <m/>
    <m/>
    <x v="11"/>
    <n v="150"/>
    <m/>
    <x v="10"/>
    <n v="65"/>
    <s v=""/>
    <n v="0.76470588235294112"/>
  </r>
  <r>
    <x v="0"/>
    <s v="nocta"/>
    <s v="nike"/>
    <s v="nocta not step"/>
    <n v="8.5"/>
    <s v="black"/>
    <n v="132.4"/>
    <d v="2022-11-28T00:00:00"/>
    <m/>
    <m/>
    <x v="11"/>
    <n v="200"/>
    <m/>
    <x v="10"/>
    <n v="67.599999999999994"/>
    <s v=""/>
    <n v="0.51057401812688818"/>
  </r>
  <r>
    <x v="1"/>
    <s v="trapstar"/>
    <s v="trapstar"/>
    <s v="monogram shorts"/>
    <s v="s"/>
    <s v="black"/>
    <n v="35.450000000000003"/>
    <d v="2022-11-29T00:00:00"/>
    <m/>
    <m/>
    <x v="11"/>
    <n v="50"/>
    <m/>
    <x v="10"/>
    <n v="14.549999999999997"/>
    <s v=""/>
    <n v="0.4104372355430182"/>
  </r>
  <r>
    <x v="4"/>
    <m/>
    <m/>
    <m/>
    <m/>
    <m/>
    <m/>
    <m/>
    <m/>
    <m/>
    <x v="11"/>
    <m/>
    <m/>
    <x v="10"/>
    <n v="0"/>
    <s v=""/>
    <n v="0"/>
  </r>
  <r>
    <x v="4"/>
    <m/>
    <m/>
    <m/>
    <m/>
    <m/>
    <m/>
    <m/>
    <m/>
    <m/>
    <x v="11"/>
    <m/>
    <m/>
    <x v="10"/>
    <n v="0"/>
    <s v=""/>
    <n v="0"/>
  </r>
  <r>
    <x v="4"/>
    <m/>
    <m/>
    <m/>
    <m/>
    <m/>
    <m/>
    <m/>
    <m/>
    <m/>
    <x v="11"/>
    <m/>
    <m/>
    <x v="10"/>
    <n v="0"/>
    <s v=""/>
    <n v="0"/>
  </r>
  <r>
    <x v="4"/>
    <m/>
    <m/>
    <m/>
    <m/>
    <m/>
    <m/>
    <m/>
    <m/>
    <m/>
    <x v="11"/>
    <m/>
    <m/>
    <x v="10"/>
    <n v="0"/>
    <s v=""/>
    <n v="0"/>
  </r>
  <r>
    <x v="4"/>
    <m/>
    <m/>
    <m/>
    <m/>
    <m/>
    <m/>
    <m/>
    <m/>
    <m/>
    <x v="11"/>
    <m/>
    <m/>
    <x v="10"/>
    <n v="0"/>
    <s v=""/>
    <n v="0"/>
  </r>
  <r>
    <x v="4"/>
    <m/>
    <m/>
    <m/>
    <m/>
    <m/>
    <m/>
    <m/>
    <m/>
    <m/>
    <x v="11"/>
    <m/>
    <m/>
    <x v="10"/>
    <n v="0"/>
    <s v=""/>
    <n v="0"/>
  </r>
  <r>
    <x v="4"/>
    <m/>
    <m/>
    <m/>
    <m/>
    <m/>
    <m/>
    <m/>
    <m/>
    <m/>
    <x v="11"/>
    <m/>
    <m/>
    <x v="10"/>
    <n v="0"/>
    <s v=""/>
    <n v="0"/>
  </r>
  <r>
    <x v="4"/>
    <m/>
    <m/>
    <m/>
    <m/>
    <m/>
    <m/>
    <m/>
    <m/>
    <m/>
    <x v="11"/>
    <m/>
    <m/>
    <x v="10"/>
    <n v="0"/>
    <s v=""/>
    <n v="0"/>
  </r>
  <r>
    <x v="4"/>
    <m/>
    <m/>
    <m/>
    <m/>
    <m/>
    <m/>
    <m/>
    <m/>
    <m/>
    <x v="11"/>
    <m/>
    <m/>
    <x v="10"/>
    <n v="0"/>
    <s v=""/>
    <n v="0"/>
  </r>
  <r>
    <x v="4"/>
    <m/>
    <m/>
    <m/>
    <m/>
    <m/>
    <m/>
    <m/>
    <m/>
    <m/>
    <x v="11"/>
    <m/>
    <m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  <r>
    <x v="4"/>
    <m/>
    <m/>
    <m/>
    <m/>
    <m/>
    <m/>
    <m/>
    <m/>
    <m/>
    <x v="11"/>
    <m/>
    <s v=""/>
    <x v="10"/>
    <n v="0"/>
    <s v="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84B39-6933-477F-875A-11BA1C725FF8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>
  <location ref="C4:E14" firstHeaderRow="0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23">
        <item m="1" x="15"/>
        <item x="0"/>
        <item m="1" x="14"/>
        <item x="2"/>
        <item m="1" x="11"/>
        <item m="1" x="13"/>
        <item x="3"/>
        <item x="1"/>
        <item x="8"/>
        <item h="1" x="10"/>
        <item m="1" x="17"/>
        <item m="1" x="16"/>
        <item m="1" x="12"/>
        <item x="4"/>
        <item m="1" x="18"/>
        <item m="1" x="20"/>
        <item m="1" x="21"/>
        <item x="7"/>
        <item x="5"/>
        <item x="6"/>
        <item h="1" m="1" x="19"/>
        <item h="1"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44" showAll="0"/>
    <pivotField dataField="1" showAll="0"/>
    <pivotField dataField="1" numFmtId="164" showAll="0"/>
  </pivotFields>
  <rowFields count="1">
    <field x="13"/>
  </rowFields>
  <rowItems count="10">
    <i>
      <x v="6"/>
    </i>
    <i>
      <x v="1"/>
    </i>
    <i>
      <x v="7"/>
    </i>
    <i>
      <x v="8"/>
    </i>
    <i>
      <x v="19"/>
    </i>
    <i>
      <x v="13"/>
    </i>
    <i>
      <x v="17"/>
    </i>
    <i>
      <x v="3"/>
    </i>
    <i>
      <x v="1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ctual profit" fld="15" baseField="0" baseItem="0" numFmtId="44"/>
    <dataField name="Average of ROI" fld="16" subtotal="average" baseField="0" baseItem="0" numFmtId="164"/>
  </dataFields>
  <formats count="2">
    <format dxfId="2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6CCE3-EAEA-4437-81DF-0E062259FEC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>
  <location ref="H4:I9" firstHeaderRow="1" firstDataRow="1" firstDataCol="1"/>
  <pivotFields count="17">
    <pivotField axis="axisRow" showAll="0" measureFilter="1" sortType="descending">
      <items count="7">
        <item x="1"/>
        <item x="3"/>
        <item m="1" x="5"/>
        <item x="2"/>
        <item x="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showAll="0"/>
    <pivotField numFmtId="164" showAll="0"/>
  </pivotFields>
  <rowFields count="1">
    <field x="0"/>
  </rowFields>
  <rowItems count="5">
    <i>
      <x v="4"/>
    </i>
    <i>
      <x/>
    </i>
    <i>
      <x v="1"/>
    </i>
    <i>
      <x v="3"/>
    </i>
    <i t="grand">
      <x/>
    </i>
  </rowItems>
  <colItems count="1">
    <i/>
  </colItems>
  <dataFields count="1">
    <dataField name="Sum of est. profit" fld="14" baseField="0" baseItem="0" numFmtId="44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6" filterVal="6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7B9567-BA8B-4253-A48F-012DCC12A56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chartFormat="7">
  <location ref="L21:M33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7">
        <item h="1" x="11"/>
        <item h="1" m="1" x="13"/>
        <item h="1" m="1" x="14"/>
        <item x="10"/>
        <item x="9"/>
        <item x="8"/>
        <item x="7"/>
        <item m="1" x="15"/>
        <item x="6"/>
        <item h="1" m="1" x="12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numFmtId="44" showAll="0"/>
    <pivotField dataField="1" showAll="0"/>
    <pivotField numFmtId="164" showAll="0"/>
  </pivotFields>
  <rowFields count="1">
    <field x="10"/>
  </rowFields>
  <rowItems count="12">
    <i>
      <x v="3"/>
    </i>
    <i>
      <x v="4"/>
    </i>
    <i>
      <x v="5"/>
    </i>
    <i>
      <x v="6"/>
    </i>
    <i>
      <x v="8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actual profit" fld="15" baseField="0" baseItem="0" numFmtId="44"/>
  </dataField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D96144-7849-4A73-9506-607E9EDEB9F6}" name="input_table" displayName="input_table" ref="A1:Q127" totalsRowShown="0">
  <autoFilter ref="A1:Q127" xr:uid="{B032434E-0C7C-4646-95D0-ED8BBE65908E}"/>
  <sortState xmlns:xlrd2="http://schemas.microsoft.com/office/spreadsheetml/2017/richdata2" ref="A2:Q127">
    <sortCondition ref="J1:J127"/>
  </sortState>
  <tableColumns count="17">
    <tableColumn id="1" xr3:uid="{A880AFC0-8785-4A16-BF44-8A20710BE399}" name="Income stream" dataDxfId="21"/>
    <tableColumn id="11" xr3:uid="{27AFF02E-9EB2-4D6F-92E0-7C2B80615205}" name="Purchased from" dataDxfId="20"/>
    <tableColumn id="2" xr3:uid="{1294E2FF-3A7D-4F6B-A535-1FD019BEAFFB}" name="Brand" dataDxfId="19"/>
    <tableColumn id="3" xr3:uid="{E068E5E8-BA3D-40EA-860D-17E4E5206155}" name="Item" dataDxfId="18"/>
    <tableColumn id="4" xr3:uid="{73FFA986-AC15-4FC7-8FFD-621E52C95A83}" name="Size" dataDxfId="17"/>
    <tableColumn id="5" xr3:uid="{4C010537-31D7-457B-81EA-9EC670ADA5E0}" name="colour" dataDxfId="16"/>
    <tableColumn id="6" xr3:uid="{3BD2ED23-765B-411C-A7B6-9F60A56E33AF}" name="Purchased" dataCellStyle="Currency"/>
    <tableColumn id="7" xr3:uid="{4C36841C-18B4-40AD-A4FD-0214187F1756}" name="Date Purchased" dataDxfId="15" dataCellStyle="Comma"/>
    <tableColumn id="8" xr3:uid="{6F018238-D80F-4C29-931A-73C061F37387}" name="Sold" dataCellStyle="Currency"/>
    <tableColumn id="9" xr3:uid="{26BAEF6E-1777-440B-98FC-4EB2900E7704}" name="Date Sold" dataDxfId="14" dataCellStyle="Currency"/>
    <tableColumn id="12" xr3:uid="{FFF8EA0D-816E-49DB-B5FF-EBB8E546E1E8}" name="month" dataDxfId="13"/>
    <tableColumn id="46" xr3:uid="{5857ECE2-CE98-42FC-BE1E-BF853038F4EF}" name="estimate value" dataCellStyle="Currency"/>
    <tableColumn id="48" xr3:uid="{AF28492B-5BDF-4075-BFB4-95F7B86E51A9}" name="sell time" dataDxfId="12">
      <calculatedColumnFormula>IF(J2&lt;&gt;"",J2-H2,"")</calculatedColumnFormula>
    </tableColumn>
    <tableColumn id="10" xr3:uid="{263F9B88-1F58-4FA8-9B34-8DAA0DDC2482}" name="sale method" dataDxfId="11"/>
    <tableColumn id="43" xr3:uid="{3ECFEBCA-22CC-45F5-84C4-90D46724FB10}" name="est. profit" dataDxfId="10">
      <calculatedColumnFormula>(L2+I2)-G2</calculatedColumnFormula>
    </tableColumn>
    <tableColumn id="47" xr3:uid="{BEE00FEB-E321-4B2F-8520-21B7AB87AD71}" name="actual profit" dataDxfId="9">
      <calculatedColumnFormula>IF(I2&lt;&gt;"",I2-G2,"")</calculatedColumnFormula>
    </tableColumn>
    <tableColumn id="44" xr3:uid="{B3431E7D-BB0D-4642-8882-CF62861E2774}" name="ROI" dataDxfId="8">
      <calculatedColumnFormula>IFERROR(input_table[[#This Row],[est. profit]]/input_table[[#This Row],[Purchased]],)</calculatedColumnFormula>
    </tableColumn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C6DF26C-9295-44D9-9B3B-98A1E00A3092}" name="output_table" displayName="output_table" ref="S1:T2">
  <autoFilter ref="S1:T2" xr:uid="{2AC7A0CE-9374-4F92-8EAF-142BB92991A5}">
    <filterColumn colId="0" hiddenButton="1"/>
    <filterColumn colId="1" hiddenButton="1"/>
  </autoFilter>
  <tableColumns count="2">
    <tableColumn id="1" xr3:uid="{5DAF501D-2EDC-4241-A829-280046305F67}" name="Total actual profit" totalsRowLabel="Total" dataDxfId="7" totalsRowDxfId="6">
      <calculatedColumnFormula>SUM(P:P)</calculatedColumnFormula>
    </tableColumn>
    <tableColumn id="9" xr3:uid="{DDC875A1-7967-42D1-B947-8028F0B33D9D}" name="total estimate profit" dataDxfId="5" totalsRowDxfId="4">
      <calculatedColumnFormula>SUM(O:O)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CAD79-0289-4983-856E-7749607E89BE}">
  <dimension ref="A1:D2"/>
  <sheetViews>
    <sheetView workbookViewId="0">
      <selection activeCell="C34" sqref="C34"/>
    </sheetView>
  </sheetViews>
  <sheetFormatPr defaultRowHeight="15" x14ac:dyDescent="0.25"/>
  <cols>
    <col min="1" max="1" width="19.42578125" customWidth="1"/>
    <col min="2" max="2" width="20.42578125" customWidth="1"/>
    <col min="3" max="3" width="22.5703125" customWidth="1"/>
    <col min="4" max="4" width="21.7109375" customWidth="1"/>
  </cols>
  <sheetData>
    <row r="1" spans="1:4" x14ac:dyDescent="0.25">
      <c r="A1" s="2"/>
      <c r="B1" s="2"/>
      <c r="C1" s="2"/>
      <c r="D1" s="2"/>
    </row>
    <row r="2" spans="1:4" x14ac:dyDescent="0.25">
      <c r="A2" s="11"/>
      <c r="B2" s="2"/>
      <c r="C2" s="2"/>
      <c r="D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E458-1D2E-46A2-8D4A-AFF3768BEE89}">
  <dimension ref="A1:W2465"/>
  <sheetViews>
    <sheetView tabSelected="1" zoomScaleNormal="100" workbookViewId="0">
      <selection activeCell="F12" sqref="F12"/>
    </sheetView>
  </sheetViews>
  <sheetFormatPr defaultRowHeight="15" x14ac:dyDescent="0.25"/>
  <cols>
    <col min="1" max="1" width="14.85546875" style="10" customWidth="1"/>
    <col min="2" max="2" width="10.28515625" style="10" customWidth="1"/>
    <col min="3" max="3" width="10.42578125" style="10" customWidth="1"/>
    <col min="4" max="4" width="19.42578125" customWidth="1"/>
    <col min="5" max="5" width="6.5703125" customWidth="1"/>
    <col min="6" max="6" width="14.28515625" style="10" customWidth="1"/>
    <col min="7" max="7" width="14.140625" style="18" customWidth="1"/>
    <col min="8" max="8" width="16.28515625" style="19" customWidth="1"/>
    <col min="9" max="9" width="10.42578125" style="18" customWidth="1"/>
    <col min="10" max="10" width="16.140625" style="1" customWidth="1"/>
    <col min="11" max="11" width="6.42578125" style="1" customWidth="1"/>
    <col min="12" max="12" width="15.42578125" style="18" customWidth="1"/>
    <col min="13" max="13" width="10.28515625" customWidth="1"/>
    <col min="14" max="14" width="10.140625" customWidth="1"/>
    <col min="15" max="15" width="14.140625" style="2" customWidth="1"/>
    <col min="16" max="16" width="10.140625" style="4" customWidth="1"/>
    <col min="18" max="18" width="20.42578125" style="2" customWidth="1"/>
    <col min="19" max="19" width="21.28515625" style="2" customWidth="1"/>
    <col min="20" max="20" width="20.85546875" style="2" customWidth="1"/>
    <col min="21" max="21" width="21.5703125" style="2" customWidth="1"/>
    <col min="22" max="22" width="22.28515625" style="2" customWidth="1"/>
    <col min="23" max="24" width="10.42578125" customWidth="1"/>
  </cols>
  <sheetData>
    <row r="1" spans="1:23" x14ac:dyDescent="0.25">
      <c r="A1" s="10" t="s">
        <v>0</v>
      </c>
      <c r="B1" s="10" t="s">
        <v>181</v>
      </c>
      <c r="C1" s="10" t="s">
        <v>1</v>
      </c>
      <c r="D1" t="s">
        <v>2</v>
      </c>
      <c r="E1" t="s">
        <v>3</v>
      </c>
      <c r="F1" s="10" t="s">
        <v>4</v>
      </c>
      <c r="G1" s="18" t="s">
        <v>5</v>
      </c>
      <c r="H1" s="19" t="s">
        <v>6</v>
      </c>
      <c r="I1" s="18" t="s">
        <v>7</v>
      </c>
      <c r="J1" s="1" t="s">
        <v>8</v>
      </c>
      <c r="K1" s="1" t="s">
        <v>43</v>
      </c>
      <c r="L1" s="18" t="s">
        <v>66</v>
      </c>
      <c r="M1" t="s">
        <v>25</v>
      </c>
      <c r="N1" t="s">
        <v>21</v>
      </c>
      <c r="O1" s="5" t="s">
        <v>17</v>
      </c>
      <c r="P1" s="5" t="s">
        <v>18</v>
      </c>
      <c r="Q1" s="4" t="s">
        <v>13</v>
      </c>
      <c r="R1"/>
      <c r="S1" s="2" t="s">
        <v>19</v>
      </c>
      <c r="T1" s="2" t="s">
        <v>15</v>
      </c>
      <c r="W1" s="2"/>
    </row>
    <row r="2" spans="1:23" x14ac:dyDescent="0.25">
      <c r="A2" s="10" t="s">
        <v>9</v>
      </c>
      <c r="B2" s="10" t="s">
        <v>22</v>
      </c>
      <c r="C2" s="10" t="s">
        <v>47</v>
      </c>
      <c r="D2" t="s">
        <v>48</v>
      </c>
      <c r="E2">
        <v>8.5</v>
      </c>
      <c r="F2" s="10" t="s">
        <v>57</v>
      </c>
      <c r="G2" s="18">
        <v>107</v>
      </c>
      <c r="H2" s="19">
        <v>44541</v>
      </c>
      <c r="I2" s="18">
        <v>170</v>
      </c>
      <c r="J2" s="17">
        <v>44565</v>
      </c>
      <c r="K2" s="1" t="s">
        <v>44</v>
      </c>
      <c r="M2">
        <f t="shared" ref="M2:M33" si="0">IF(J2&lt;&gt;"",J2-H2,"")</f>
        <v>24</v>
      </c>
      <c r="N2" t="s">
        <v>22</v>
      </c>
      <c r="O2" s="2">
        <f t="shared" ref="O2:O65" si="1">(L2+I2)-G2</f>
        <v>63</v>
      </c>
      <c r="P2" s="2">
        <f t="shared" ref="P2:P65" si="2">IF(I2&lt;&gt;"",I2-G2,"")</f>
        <v>63</v>
      </c>
      <c r="Q2" s="4">
        <f>IFERROR(input_table[[#This Row],[est. profit]]/input_table[[#This Row],[Purchased]],)</f>
        <v>0.58878504672897192</v>
      </c>
      <c r="R2"/>
      <c r="S2" s="11">
        <f>SUM(P:P)</f>
        <v>6381.5800000000036</v>
      </c>
      <c r="T2" s="2">
        <f>SUM(O:O)</f>
        <v>7236.5700000000052</v>
      </c>
      <c r="W2" s="2"/>
    </row>
    <row r="3" spans="1:23" x14ac:dyDescent="0.25">
      <c r="A3" s="10" t="s">
        <v>9</v>
      </c>
      <c r="B3" s="10" t="s">
        <v>10</v>
      </c>
      <c r="C3" s="10" t="s">
        <v>10</v>
      </c>
      <c r="D3" t="s">
        <v>12</v>
      </c>
      <c r="E3">
        <v>8</v>
      </c>
      <c r="F3" s="10" t="s">
        <v>50</v>
      </c>
      <c r="G3" s="18">
        <v>100</v>
      </c>
      <c r="H3" s="19">
        <v>44552</v>
      </c>
      <c r="I3" s="18">
        <v>162</v>
      </c>
      <c r="J3" s="17">
        <v>44568</v>
      </c>
      <c r="K3" s="1" t="s">
        <v>44</v>
      </c>
      <c r="M3">
        <f t="shared" si="0"/>
        <v>16</v>
      </c>
      <c r="N3" t="s">
        <v>23</v>
      </c>
      <c r="O3" s="2">
        <f t="shared" si="1"/>
        <v>62</v>
      </c>
      <c r="P3" s="2">
        <f t="shared" si="2"/>
        <v>62</v>
      </c>
      <c r="Q3" s="4">
        <f>IFERROR(input_table[[#This Row],[est. profit]]/input_table[[#This Row],[Purchased]],)</f>
        <v>0.62</v>
      </c>
      <c r="R3"/>
      <c r="W3" s="2"/>
    </row>
    <row r="4" spans="1:23" x14ac:dyDescent="0.25">
      <c r="A4" s="10" t="s">
        <v>9</v>
      </c>
      <c r="B4" s="10" t="s">
        <v>22</v>
      </c>
      <c r="C4" s="10" t="s">
        <v>11</v>
      </c>
      <c r="D4" t="s">
        <v>20</v>
      </c>
      <c r="E4">
        <v>6.5</v>
      </c>
      <c r="F4" s="10" t="s">
        <v>55</v>
      </c>
      <c r="G4" s="18">
        <v>209</v>
      </c>
      <c r="H4" s="19">
        <v>44534</v>
      </c>
      <c r="I4" s="18">
        <v>220</v>
      </c>
      <c r="J4" s="17">
        <v>44570</v>
      </c>
      <c r="K4" s="1" t="s">
        <v>44</v>
      </c>
      <c r="M4">
        <f t="shared" si="0"/>
        <v>36</v>
      </c>
      <c r="N4" t="s">
        <v>24</v>
      </c>
      <c r="O4" s="2">
        <f t="shared" si="1"/>
        <v>11</v>
      </c>
      <c r="P4" s="2">
        <f t="shared" si="2"/>
        <v>11</v>
      </c>
      <c r="Q4" s="4">
        <f>IFERROR(input_table[[#This Row],[est. profit]]/input_table[[#This Row],[Purchased]],)</f>
        <v>5.2631578947368418E-2</v>
      </c>
      <c r="R4"/>
      <c r="S4" s="6" t="s">
        <v>26</v>
      </c>
      <c r="T4" s="6" t="s">
        <v>27</v>
      </c>
      <c r="U4" s="6" t="s">
        <v>28</v>
      </c>
      <c r="W4" s="2"/>
    </row>
    <row r="5" spans="1:23" x14ac:dyDescent="0.25">
      <c r="A5" t="s">
        <v>9</v>
      </c>
      <c r="B5" t="s">
        <v>10</v>
      </c>
      <c r="C5" t="s">
        <v>11</v>
      </c>
      <c r="D5" t="s">
        <v>20</v>
      </c>
      <c r="E5">
        <v>7</v>
      </c>
      <c r="F5" t="s">
        <v>137</v>
      </c>
      <c r="G5" s="18">
        <v>0</v>
      </c>
      <c r="H5" s="19">
        <v>44565</v>
      </c>
      <c r="I5" s="18">
        <v>130</v>
      </c>
      <c r="J5" s="1">
        <v>44572</v>
      </c>
      <c r="K5" t="s">
        <v>44</v>
      </c>
      <c r="M5">
        <f t="shared" si="0"/>
        <v>7</v>
      </c>
      <c r="N5" t="s">
        <v>32</v>
      </c>
      <c r="O5" s="2">
        <f t="shared" si="1"/>
        <v>130</v>
      </c>
      <c r="P5" s="2">
        <f t="shared" si="2"/>
        <v>130</v>
      </c>
      <c r="Q5" s="4">
        <f>IFERROR(input_table[[#This Row],[est. profit]]/input_table[[#This Row],[Purchased]],)</f>
        <v>0</v>
      </c>
      <c r="R5"/>
      <c r="S5" s="8">
        <f>SUM('Input Sheet'!G2:G127)-SUMIF('Input Sheet'!I2:I127,"&lt;&gt;",'Input Sheet'!G2:G127)</f>
        <v>2685.0100000000039</v>
      </c>
      <c r="T5" s="8">
        <f>SUM(L:L)</f>
        <v>3540</v>
      </c>
      <c r="U5" s="12">
        <f>(T5-S5)/S5</f>
        <v>0.31843084383298198</v>
      </c>
      <c r="W5" s="2"/>
    </row>
    <row r="6" spans="1:23" x14ac:dyDescent="0.25">
      <c r="A6" t="s">
        <v>9</v>
      </c>
      <c r="B6" t="s">
        <v>10</v>
      </c>
      <c r="C6" t="s">
        <v>10</v>
      </c>
      <c r="D6" t="s">
        <v>12</v>
      </c>
      <c r="E6">
        <v>5.5</v>
      </c>
      <c r="F6" t="s">
        <v>65</v>
      </c>
      <c r="G6" s="18">
        <v>90</v>
      </c>
      <c r="H6" s="19">
        <v>44567</v>
      </c>
      <c r="I6" s="18">
        <v>160</v>
      </c>
      <c r="J6" s="1">
        <v>44573</v>
      </c>
      <c r="K6" t="s">
        <v>44</v>
      </c>
      <c r="M6">
        <f t="shared" si="0"/>
        <v>6</v>
      </c>
      <c r="N6" t="s">
        <v>32</v>
      </c>
      <c r="O6" s="2">
        <f t="shared" si="1"/>
        <v>70</v>
      </c>
      <c r="P6" s="2">
        <f t="shared" si="2"/>
        <v>70</v>
      </c>
      <c r="Q6" s="4">
        <f>IFERROR(input_table[[#This Row],[est. profit]]/input_table[[#This Row],[Purchased]],)</f>
        <v>0.77777777777777779</v>
      </c>
      <c r="R6"/>
      <c r="U6" s="3"/>
      <c r="W6" s="2"/>
    </row>
    <row r="7" spans="1:23" x14ac:dyDescent="0.25">
      <c r="A7" t="s">
        <v>9</v>
      </c>
      <c r="B7" t="s">
        <v>10</v>
      </c>
      <c r="C7" t="s">
        <v>10</v>
      </c>
      <c r="D7" t="s">
        <v>12</v>
      </c>
      <c r="E7">
        <v>6</v>
      </c>
      <c r="F7" t="s">
        <v>65</v>
      </c>
      <c r="G7" s="18">
        <v>90</v>
      </c>
      <c r="H7" s="19">
        <v>44567</v>
      </c>
      <c r="I7" s="18">
        <v>160</v>
      </c>
      <c r="J7" s="1">
        <v>44573</v>
      </c>
      <c r="K7" t="s">
        <v>44</v>
      </c>
      <c r="M7">
        <f t="shared" si="0"/>
        <v>6</v>
      </c>
      <c r="N7" t="s">
        <v>32</v>
      </c>
      <c r="O7" s="2">
        <f t="shared" si="1"/>
        <v>70</v>
      </c>
      <c r="P7" s="2">
        <f t="shared" si="2"/>
        <v>70</v>
      </c>
      <c r="Q7" s="4">
        <f>IFERROR(input_table[[#This Row],[est. profit]]/input_table[[#This Row],[Purchased]],)</f>
        <v>0.77777777777777779</v>
      </c>
      <c r="R7"/>
      <c r="S7" s="6" t="s">
        <v>14</v>
      </c>
      <c r="T7" s="7" t="s">
        <v>16</v>
      </c>
      <c r="W7" s="2"/>
    </row>
    <row r="8" spans="1:23" x14ac:dyDescent="0.25">
      <c r="A8" s="10" t="s">
        <v>33</v>
      </c>
      <c r="B8" s="10" t="s">
        <v>182</v>
      </c>
      <c r="C8" s="10" t="s">
        <v>10</v>
      </c>
      <c r="D8" t="s">
        <v>30</v>
      </c>
      <c r="E8" t="s">
        <v>58</v>
      </c>
      <c r="F8" s="10" t="s">
        <v>54</v>
      </c>
      <c r="G8" s="18">
        <v>162</v>
      </c>
      <c r="H8" s="19">
        <v>44553</v>
      </c>
      <c r="I8" s="18">
        <v>250</v>
      </c>
      <c r="J8" s="17">
        <v>44575</v>
      </c>
      <c r="K8" s="1" t="s">
        <v>44</v>
      </c>
      <c r="M8">
        <f t="shared" si="0"/>
        <v>22</v>
      </c>
      <c r="N8" t="s">
        <v>32</v>
      </c>
      <c r="O8" s="2">
        <f t="shared" si="1"/>
        <v>88</v>
      </c>
      <c r="P8" s="2">
        <f t="shared" si="2"/>
        <v>88</v>
      </c>
      <c r="Q8" s="4">
        <f>IFERROR(input_table[[#This Row],[est. profit]]/input_table[[#This Row],[Purchased]],)</f>
        <v>0.54320987654320985</v>
      </c>
      <c r="R8"/>
      <c r="S8" s="8">
        <f>SUM(input_table[] I:I)</f>
        <v>19767.189999999991</v>
      </c>
      <c r="T8" s="9">
        <f>SUM(S8, L:L)</f>
        <v>23307.189999999991</v>
      </c>
      <c r="W8" s="2"/>
    </row>
    <row r="9" spans="1:23" x14ac:dyDescent="0.25">
      <c r="A9" t="s">
        <v>9</v>
      </c>
      <c r="B9" t="s">
        <v>32</v>
      </c>
      <c r="C9" t="s">
        <v>11</v>
      </c>
      <c r="D9" t="s">
        <v>69</v>
      </c>
      <c r="E9">
        <v>9.5</v>
      </c>
      <c r="F9" t="s">
        <v>72</v>
      </c>
      <c r="G9" s="18">
        <v>130</v>
      </c>
      <c r="H9" s="19">
        <v>44576</v>
      </c>
      <c r="I9" s="18">
        <v>140</v>
      </c>
      <c r="J9" s="1">
        <v>44576</v>
      </c>
      <c r="K9" t="s">
        <v>44</v>
      </c>
      <c r="M9">
        <f t="shared" si="0"/>
        <v>0</v>
      </c>
      <c r="N9" t="s">
        <v>32</v>
      </c>
      <c r="O9" s="2">
        <f t="shared" si="1"/>
        <v>10</v>
      </c>
      <c r="P9" s="2">
        <f t="shared" si="2"/>
        <v>10</v>
      </c>
      <c r="Q9" s="4">
        <f>IFERROR(input_table[[#This Row],[est. profit]]/input_table[[#This Row],[Purchased]],)</f>
        <v>7.6923076923076927E-2</v>
      </c>
      <c r="R9"/>
      <c r="W9" s="2"/>
    </row>
    <row r="10" spans="1:23" x14ac:dyDescent="0.25">
      <c r="A10" t="s">
        <v>9</v>
      </c>
      <c r="B10" t="s">
        <v>22</v>
      </c>
      <c r="C10" t="s">
        <v>11</v>
      </c>
      <c r="D10">
        <v>3</v>
      </c>
      <c r="E10">
        <v>10</v>
      </c>
      <c r="F10" t="s">
        <v>73</v>
      </c>
      <c r="G10" s="18">
        <v>240</v>
      </c>
      <c r="H10" s="19">
        <v>44576</v>
      </c>
      <c r="I10" s="18">
        <v>280</v>
      </c>
      <c r="J10" s="1">
        <v>44576</v>
      </c>
      <c r="K10" t="s">
        <v>44</v>
      </c>
      <c r="M10">
        <f t="shared" si="0"/>
        <v>0</v>
      </c>
      <c r="N10" t="s">
        <v>32</v>
      </c>
      <c r="O10" s="2">
        <f t="shared" si="1"/>
        <v>40</v>
      </c>
      <c r="P10" s="2">
        <f t="shared" si="2"/>
        <v>40</v>
      </c>
      <c r="Q10" s="4">
        <f>IFERROR(input_table[[#This Row],[est. profit]]/input_table[[#This Row],[Purchased]],)</f>
        <v>0.16666666666666666</v>
      </c>
      <c r="R10"/>
      <c r="W10" s="2"/>
    </row>
    <row r="11" spans="1:23" x14ac:dyDescent="0.25">
      <c r="A11" t="s">
        <v>33</v>
      </c>
      <c r="B11" t="s">
        <v>22</v>
      </c>
      <c r="C11" t="s">
        <v>51</v>
      </c>
      <c r="D11" t="s">
        <v>53</v>
      </c>
      <c r="E11" t="s">
        <v>34</v>
      </c>
      <c r="F11" t="s">
        <v>74</v>
      </c>
      <c r="G11" s="18">
        <v>265</v>
      </c>
      <c r="H11" s="19">
        <v>44576</v>
      </c>
      <c r="I11" s="18">
        <v>280</v>
      </c>
      <c r="J11" s="1">
        <v>44576</v>
      </c>
      <c r="K11" t="s">
        <v>44</v>
      </c>
      <c r="M11">
        <f t="shared" si="0"/>
        <v>0</v>
      </c>
      <c r="N11" t="s">
        <v>32</v>
      </c>
      <c r="O11" s="2">
        <f t="shared" si="1"/>
        <v>15</v>
      </c>
      <c r="P11" s="2">
        <f t="shared" si="2"/>
        <v>15</v>
      </c>
      <c r="Q11" s="4">
        <f>IFERROR(input_table[[#This Row],[est. profit]]/input_table[[#This Row],[Purchased]],)</f>
        <v>5.6603773584905662E-2</v>
      </c>
      <c r="R11"/>
      <c r="W11" s="2"/>
    </row>
    <row r="12" spans="1:23" x14ac:dyDescent="0.25">
      <c r="A12" t="s">
        <v>85</v>
      </c>
      <c r="B12" t="s">
        <v>22</v>
      </c>
      <c r="C12" t="s">
        <v>51</v>
      </c>
      <c r="D12" t="s">
        <v>86</v>
      </c>
      <c r="E12" t="s">
        <v>83</v>
      </c>
      <c r="F12" t="s">
        <v>87</v>
      </c>
      <c r="G12" s="18">
        <v>65</v>
      </c>
      <c r="H12" s="19">
        <v>44577</v>
      </c>
      <c r="I12" s="18">
        <v>80</v>
      </c>
      <c r="J12" s="1">
        <v>44577</v>
      </c>
      <c r="K12" t="s">
        <v>44</v>
      </c>
      <c r="M12">
        <f t="shared" si="0"/>
        <v>0</v>
      </c>
      <c r="N12" t="s">
        <v>32</v>
      </c>
      <c r="O12" s="2">
        <f t="shared" si="1"/>
        <v>15</v>
      </c>
      <c r="P12" s="2">
        <f t="shared" si="2"/>
        <v>15</v>
      </c>
      <c r="Q12" s="4">
        <f>IFERROR(input_table[[#This Row],[est. profit]]/input_table[[#This Row],[Purchased]],)</f>
        <v>0.23076923076923078</v>
      </c>
      <c r="R12"/>
      <c r="W12" s="2"/>
    </row>
    <row r="13" spans="1:23" x14ac:dyDescent="0.25">
      <c r="A13" t="s">
        <v>33</v>
      </c>
      <c r="B13" t="s">
        <v>75</v>
      </c>
      <c r="C13" t="s">
        <v>75</v>
      </c>
      <c r="D13" t="s">
        <v>76</v>
      </c>
      <c r="E13" t="s">
        <v>77</v>
      </c>
      <c r="F13" t="s">
        <v>78</v>
      </c>
      <c r="G13" s="18">
        <v>32</v>
      </c>
      <c r="H13" s="19">
        <v>44542</v>
      </c>
      <c r="I13" s="18">
        <v>80</v>
      </c>
      <c r="J13" s="1">
        <v>44577</v>
      </c>
      <c r="K13" t="s">
        <v>79</v>
      </c>
      <c r="M13">
        <f t="shared" si="0"/>
        <v>35</v>
      </c>
      <c r="N13" t="s">
        <v>80</v>
      </c>
      <c r="O13" s="2">
        <f t="shared" si="1"/>
        <v>48</v>
      </c>
      <c r="P13" s="2">
        <f t="shared" si="2"/>
        <v>48</v>
      </c>
      <c r="Q13" s="4">
        <f>IFERROR(input_table[[#This Row],[est. profit]]/input_table[[#This Row],[Purchased]],)</f>
        <v>1.5</v>
      </c>
      <c r="R13"/>
      <c r="W13" s="2"/>
    </row>
    <row r="14" spans="1:23" x14ac:dyDescent="0.25">
      <c r="A14" s="10" t="s">
        <v>33</v>
      </c>
      <c r="B14" s="10" t="s">
        <v>51</v>
      </c>
      <c r="C14" s="10" t="s">
        <v>51</v>
      </c>
      <c r="D14" t="s">
        <v>63</v>
      </c>
      <c r="E14" t="s">
        <v>31</v>
      </c>
      <c r="F14" s="10" t="s">
        <v>61</v>
      </c>
      <c r="G14" s="18">
        <v>172.45</v>
      </c>
      <c r="H14" s="19">
        <v>44561</v>
      </c>
      <c r="I14" s="18">
        <v>200</v>
      </c>
      <c r="J14" s="17">
        <v>44579</v>
      </c>
      <c r="K14" s="1" t="s">
        <v>44</v>
      </c>
      <c r="M14">
        <f t="shared" si="0"/>
        <v>18</v>
      </c>
      <c r="N14" t="s">
        <v>32</v>
      </c>
      <c r="O14" s="2">
        <f t="shared" si="1"/>
        <v>27.550000000000011</v>
      </c>
      <c r="P14" s="2">
        <f t="shared" si="2"/>
        <v>27.550000000000011</v>
      </c>
      <c r="Q14" s="4">
        <f>IFERROR(input_table[[#This Row],[est. profit]]/input_table[[#This Row],[Purchased]],)</f>
        <v>0.15975645114525958</v>
      </c>
      <c r="R14"/>
      <c r="S14"/>
      <c r="T14"/>
      <c r="U14"/>
      <c r="W14" s="2"/>
    </row>
    <row r="15" spans="1:23" x14ac:dyDescent="0.25">
      <c r="A15" t="s">
        <v>9</v>
      </c>
      <c r="B15" t="s">
        <v>22</v>
      </c>
      <c r="C15" t="s">
        <v>11</v>
      </c>
      <c r="D15" t="s">
        <v>69</v>
      </c>
      <c r="E15">
        <v>8</v>
      </c>
      <c r="F15" t="s">
        <v>70</v>
      </c>
      <c r="G15" s="18">
        <v>61</v>
      </c>
      <c r="H15" s="19">
        <v>44578</v>
      </c>
      <c r="I15" s="18">
        <v>100</v>
      </c>
      <c r="J15" s="1">
        <v>44587</v>
      </c>
      <c r="K15" t="s">
        <v>44</v>
      </c>
      <c r="M15">
        <f t="shared" si="0"/>
        <v>9</v>
      </c>
      <c r="N15" t="s">
        <v>22</v>
      </c>
      <c r="O15" s="2">
        <f t="shared" si="1"/>
        <v>39</v>
      </c>
      <c r="P15" s="2">
        <f t="shared" si="2"/>
        <v>39</v>
      </c>
      <c r="Q15" s="4">
        <f>IFERROR(input_table[[#This Row],[est. profit]]/input_table[[#This Row],[Purchased]],)</f>
        <v>0.63934426229508201</v>
      </c>
      <c r="R15"/>
      <c r="S15"/>
      <c r="T15"/>
      <c r="U15"/>
      <c r="W15" s="2"/>
    </row>
    <row r="16" spans="1:23" x14ac:dyDescent="0.25">
      <c r="A16" t="s">
        <v>9</v>
      </c>
      <c r="B16" t="s">
        <v>22</v>
      </c>
      <c r="C16" t="s">
        <v>11</v>
      </c>
      <c r="D16" t="s">
        <v>20</v>
      </c>
      <c r="E16">
        <v>11</v>
      </c>
      <c r="F16" t="s">
        <v>55</v>
      </c>
      <c r="G16" s="18">
        <v>153</v>
      </c>
      <c r="H16" s="19">
        <v>44572</v>
      </c>
      <c r="I16" s="18">
        <v>190</v>
      </c>
      <c r="J16" s="1">
        <v>44587</v>
      </c>
      <c r="K16" t="s">
        <v>44</v>
      </c>
      <c r="M16">
        <f t="shared" si="0"/>
        <v>15</v>
      </c>
      <c r="N16" t="s">
        <v>22</v>
      </c>
      <c r="O16" s="2">
        <f t="shared" si="1"/>
        <v>37</v>
      </c>
      <c r="P16" s="2">
        <f t="shared" si="2"/>
        <v>37</v>
      </c>
      <c r="Q16" s="4">
        <f>IFERROR(input_table[[#This Row],[est. profit]]/input_table[[#This Row],[Purchased]],)</f>
        <v>0.24183006535947713</v>
      </c>
      <c r="R16"/>
      <c r="S16"/>
      <c r="T16"/>
      <c r="U16"/>
      <c r="W16" s="2"/>
    </row>
    <row r="17" spans="1:23" x14ac:dyDescent="0.25">
      <c r="A17" t="s">
        <v>9</v>
      </c>
      <c r="B17" t="s">
        <v>22</v>
      </c>
      <c r="C17" t="s">
        <v>11</v>
      </c>
      <c r="D17" t="s">
        <v>67</v>
      </c>
      <c r="E17">
        <v>8</v>
      </c>
      <c r="F17" t="s">
        <v>68</v>
      </c>
      <c r="G17" s="18">
        <v>60</v>
      </c>
      <c r="H17" s="19">
        <v>44578</v>
      </c>
      <c r="I17" s="18">
        <v>90</v>
      </c>
      <c r="J17" s="1">
        <v>44588</v>
      </c>
      <c r="K17" t="s">
        <v>44</v>
      </c>
      <c r="M17">
        <f t="shared" si="0"/>
        <v>10</v>
      </c>
      <c r="N17" t="s">
        <v>22</v>
      </c>
      <c r="O17" s="2">
        <f t="shared" si="1"/>
        <v>30</v>
      </c>
      <c r="P17" s="2">
        <f t="shared" si="2"/>
        <v>30</v>
      </c>
      <c r="Q17" s="4">
        <f>IFERROR(input_table[[#This Row],[est. profit]]/input_table[[#This Row],[Purchased]],)</f>
        <v>0.5</v>
      </c>
      <c r="R17"/>
      <c r="S17"/>
      <c r="T17"/>
      <c r="U17"/>
      <c r="W17" s="2"/>
    </row>
    <row r="18" spans="1:23" x14ac:dyDescent="0.25">
      <c r="A18" s="10" t="s">
        <v>9</v>
      </c>
      <c r="B18" s="10" t="s">
        <v>22</v>
      </c>
      <c r="C18" s="10" t="s">
        <v>11</v>
      </c>
      <c r="D18">
        <v>4</v>
      </c>
      <c r="E18">
        <v>8</v>
      </c>
      <c r="F18" s="10" t="s">
        <v>56</v>
      </c>
      <c r="G18" s="18">
        <v>356</v>
      </c>
      <c r="H18" s="19">
        <v>44541</v>
      </c>
      <c r="I18" s="18">
        <v>420</v>
      </c>
      <c r="J18" s="17">
        <v>44590</v>
      </c>
      <c r="K18" s="1" t="s">
        <v>44</v>
      </c>
      <c r="M18">
        <f t="shared" si="0"/>
        <v>49</v>
      </c>
      <c r="N18" t="s">
        <v>88</v>
      </c>
      <c r="O18" s="2">
        <f t="shared" si="1"/>
        <v>64</v>
      </c>
      <c r="P18" s="2">
        <f t="shared" si="2"/>
        <v>64</v>
      </c>
      <c r="Q18" s="4">
        <f>IFERROR(input_table[[#This Row],[est. profit]]/input_table[[#This Row],[Purchased]],)</f>
        <v>0.1797752808988764</v>
      </c>
      <c r="R18"/>
      <c r="S18"/>
      <c r="T18"/>
      <c r="U18"/>
      <c r="W18" s="2"/>
    </row>
    <row r="19" spans="1:23" x14ac:dyDescent="0.25">
      <c r="A19" t="s">
        <v>33</v>
      </c>
      <c r="B19" t="s">
        <v>22</v>
      </c>
      <c r="C19" t="s">
        <v>75</v>
      </c>
      <c r="D19" t="s">
        <v>76</v>
      </c>
      <c r="E19" t="s">
        <v>83</v>
      </c>
      <c r="F19" t="s">
        <v>84</v>
      </c>
      <c r="G19" s="18">
        <v>47</v>
      </c>
      <c r="H19" s="19">
        <v>44577</v>
      </c>
      <c r="I19" s="18">
        <v>80</v>
      </c>
      <c r="J19" s="1">
        <v>44591</v>
      </c>
      <c r="K19" t="s">
        <v>44</v>
      </c>
      <c r="M19">
        <f t="shared" si="0"/>
        <v>14</v>
      </c>
      <c r="N19" t="s">
        <v>80</v>
      </c>
      <c r="O19" s="2">
        <f t="shared" si="1"/>
        <v>33</v>
      </c>
      <c r="P19" s="2">
        <f t="shared" si="2"/>
        <v>33</v>
      </c>
      <c r="Q19" s="4">
        <f>IFERROR(input_table[[#This Row],[est. profit]]/input_table[[#This Row],[Purchased]],)</f>
        <v>0.7021276595744681</v>
      </c>
      <c r="R19"/>
      <c r="S19"/>
      <c r="T19"/>
      <c r="U19"/>
      <c r="W19" s="2"/>
    </row>
    <row r="20" spans="1:23" x14ac:dyDescent="0.25">
      <c r="A20" t="s">
        <v>9</v>
      </c>
      <c r="B20" t="s">
        <v>170</v>
      </c>
      <c r="C20" t="s">
        <v>11</v>
      </c>
      <c r="D20" t="s">
        <v>29</v>
      </c>
      <c r="E20">
        <v>7.5</v>
      </c>
      <c r="F20" t="s">
        <v>60</v>
      </c>
      <c r="G20" s="18">
        <v>205</v>
      </c>
      <c r="H20" s="19">
        <v>44593</v>
      </c>
      <c r="I20" s="18">
        <v>250</v>
      </c>
      <c r="J20" s="1">
        <v>44595</v>
      </c>
      <c r="K20" t="s">
        <v>89</v>
      </c>
      <c r="M20">
        <f t="shared" si="0"/>
        <v>2</v>
      </c>
      <c r="N20" t="s">
        <v>32</v>
      </c>
      <c r="O20" s="2">
        <f t="shared" si="1"/>
        <v>45</v>
      </c>
      <c r="P20" s="2">
        <f t="shared" si="2"/>
        <v>45</v>
      </c>
      <c r="Q20" s="4">
        <f>IFERROR(input_table[[#This Row],[est. profit]]/input_table[[#This Row],[Purchased]],)</f>
        <v>0.21951219512195122</v>
      </c>
      <c r="R20"/>
      <c r="S20"/>
      <c r="T20"/>
      <c r="U20"/>
      <c r="W20" s="2"/>
    </row>
    <row r="21" spans="1:23" x14ac:dyDescent="0.25">
      <c r="A21" t="s">
        <v>33</v>
      </c>
      <c r="B21" t="s">
        <v>75</v>
      </c>
      <c r="C21" t="s">
        <v>75</v>
      </c>
      <c r="D21" t="s">
        <v>81</v>
      </c>
      <c r="E21" t="s">
        <v>82</v>
      </c>
      <c r="F21" t="s">
        <v>78</v>
      </c>
      <c r="G21" s="18">
        <v>30</v>
      </c>
      <c r="H21" s="19">
        <v>44542</v>
      </c>
      <c r="I21" s="18">
        <v>55</v>
      </c>
      <c r="J21" s="1">
        <v>44600</v>
      </c>
      <c r="K21" t="s">
        <v>89</v>
      </c>
      <c r="M21">
        <f t="shared" si="0"/>
        <v>58</v>
      </c>
      <c r="N21" t="s">
        <v>22</v>
      </c>
      <c r="O21" s="2">
        <f t="shared" si="1"/>
        <v>25</v>
      </c>
      <c r="P21" s="2">
        <f t="shared" si="2"/>
        <v>25</v>
      </c>
      <c r="Q21" s="4">
        <f>IFERROR(input_table[[#This Row],[est. profit]]/input_table[[#This Row],[Purchased]],)</f>
        <v>0.83333333333333337</v>
      </c>
      <c r="R21"/>
      <c r="S21"/>
      <c r="T21"/>
      <c r="U21"/>
      <c r="W21" s="2"/>
    </row>
    <row r="22" spans="1:23" x14ac:dyDescent="0.25">
      <c r="A22" s="10" t="s">
        <v>9</v>
      </c>
      <c r="B22" s="10" t="s">
        <v>188</v>
      </c>
      <c r="C22" s="10" t="s">
        <v>35</v>
      </c>
      <c r="D22" t="s">
        <v>12</v>
      </c>
      <c r="E22">
        <v>9</v>
      </c>
      <c r="F22" s="10" t="s">
        <v>59</v>
      </c>
      <c r="G22" s="18">
        <v>513</v>
      </c>
      <c r="H22" s="19">
        <v>44552</v>
      </c>
      <c r="I22" s="18">
        <v>650</v>
      </c>
      <c r="J22" s="17">
        <v>44603</v>
      </c>
      <c r="K22" s="1" t="s">
        <v>89</v>
      </c>
      <c r="M22">
        <f t="shared" si="0"/>
        <v>51</v>
      </c>
      <c r="N22" t="s">
        <v>23</v>
      </c>
      <c r="O22" s="2">
        <f t="shared" si="1"/>
        <v>137</v>
      </c>
      <c r="P22" s="2">
        <f t="shared" si="2"/>
        <v>137</v>
      </c>
      <c r="Q22" s="4">
        <f>IFERROR(input_table[[#This Row],[est. profit]]/input_table[[#This Row],[Purchased]],)</f>
        <v>0.26705653021442494</v>
      </c>
      <c r="R22"/>
      <c r="S22"/>
      <c r="T22"/>
      <c r="U22"/>
      <c r="W22" s="2"/>
    </row>
    <row r="23" spans="1:23" x14ac:dyDescent="0.25">
      <c r="A23" t="s">
        <v>9</v>
      </c>
      <c r="B23" t="s">
        <v>22</v>
      </c>
      <c r="C23" t="s">
        <v>11</v>
      </c>
      <c r="D23">
        <v>4</v>
      </c>
      <c r="E23">
        <v>8</v>
      </c>
      <c r="F23" t="s">
        <v>71</v>
      </c>
      <c r="G23" s="18">
        <v>230</v>
      </c>
      <c r="H23" s="19">
        <v>44575</v>
      </c>
      <c r="I23" s="18">
        <v>350</v>
      </c>
      <c r="J23" s="1">
        <v>44606</v>
      </c>
      <c r="K23" t="s">
        <v>89</v>
      </c>
      <c r="M23">
        <f t="shared" si="0"/>
        <v>31</v>
      </c>
      <c r="N23" t="s">
        <v>32</v>
      </c>
      <c r="O23" s="2">
        <f t="shared" si="1"/>
        <v>120</v>
      </c>
      <c r="P23" s="2">
        <f t="shared" si="2"/>
        <v>120</v>
      </c>
      <c r="Q23" s="4">
        <f>IFERROR(input_table[[#This Row],[est. profit]]/input_table[[#This Row],[Purchased]],)</f>
        <v>0.52173913043478259</v>
      </c>
      <c r="R23"/>
      <c r="S23"/>
      <c r="T23"/>
      <c r="U23"/>
      <c r="W23" s="2"/>
    </row>
    <row r="24" spans="1:23" x14ac:dyDescent="0.25">
      <c r="A24" t="s">
        <v>33</v>
      </c>
      <c r="B24" t="s">
        <v>51</v>
      </c>
      <c r="C24" t="s">
        <v>51</v>
      </c>
      <c r="D24" t="s">
        <v>53</v>
      </c>
      <c r="E24" t="s">
        <v>34</v>
      </c>
      <c r="F24" t="s">
        <v>78</v>
      </c>
      <c r="G24" s="18">
        <v>220</v>
      </c>
      <c r="H24" s="19">
        <v>44605</v>
      </c>
      <c r="I24" s="18">
        <v>300</v>
      </c>
      <c r="J24" s="1">
        <v>44608</v>
      </c>
      <c r="K24" t="s">
        <v>89</v>
      </c>
      <c r="M24">
        <f t="shared" si="0"/>
        <v>3</v>
      </c>
      <c r="N24" t="s">
        <v>32</v>
      </c>
      <c r="O24" s="2">
        <f t="shared" si="1"/>
        <v>80</v>
      </c>
      <c r="P24" s="2">
        <f t="shared" si="2"/>
        <v>80</v>
      </c>
      <c r="Q24" s="4">
        <f>IFERROR(input_table[[#This Row],[est. profit]]/input_table[[#This Row],[Purchased]],)</f>
        <v>0.36363636363636365</v>
      </c>
      <c r="R24"/>
      <c r="S24"/>
      <c r="T24"/>
      <c r="U24"/>
      <c r="W24" s="2"/>
    </row>
    <row r="25" spans="1:23" x14ac:dyDescent="0.25">
      <c r="A25" t="s">
        <v>33</v>
      </c>
      <c r="B25" t="s">
        <v>22</v>
      </c>
      <c r="C25" t="s">
        <v>75</v>
      </c>
      <c r="D25" t="s">
        <v>76</v>
      </c>
      <c r="E25" t="s">
        <v>83</v>
      </c>
      <c r="F25" t="s">
        <v>78</v>
      </c>
      <c r="G25" s="18">
        <v>47</v>
      </c>
      <c r="H25" s="19">
        <v>44577</v>
      </c>
      <c r="I25" s="18">
        <v>75</v>
      </c>
      <c r="J25" s="1">
        <v>44615</v>
      </c>
      <c r="K25" t="s">
        <v>89</v>
      </c>
      <c r="M25">
        <f t="shared" si="0"/>
        <v>38</v>
      </c>
      <c r="N25" t="s">
        <v>22</v>
      </c>
      <c r="O25" s="2">
        <f t="shared" si="1"/>
        <v>28</v>
      </c>
      <c r="P25" s="2">
        <f t="shared" si="2"/>
        <v>28</v>
      </c>
      <c r="Q25" s="4">
        <f>IFERROR(input_table[[#This Row],[est. profit]]/input_table[[#This Row],[Purchased]],)</f>
        <v>0.5957446808510638</v>
      </c>
      <c r="R25"/>
      <c r="S25"/>
      <c r="T25"/>
      <c r="U25"/>
      <c r="W25" s="2"/>
    </row>
    <row r="26" spans="1:23" x14ac:dyDescent="0.25">
      <c r="A26" t="s">
        <v>9</v>
      </c>
      <c r="B26" t="s">
        <v>22</v>
      </c>
      <c r="C26" t="s">
        <v>11</v>
      </c>
      <c r="D26">
        <v>5</v>
      </c>
      <c r="E26">
        <v>10</v>
      </c>
      <c r="F26" t="s">
        <v>90</v>
      </c>
      <c r="G26" s="18">
        <v>130</v>
      </c>
      <c r="H26" s="19">
        <v>44603</v>
      </c>
      <c r="I26" s="18">
        <v>185</v>
      </c>
      <c r="J26" s="1">
        <v>44617</v>
      </c>
      <c r="K26" t="s">
        <v>89</v>
      </c>
      <c r="M26">
        <f t="shared" si="0"/>
        <v>14</v>
      </c>
      <c r="N26" t="s">
        <v>24</v>
      </c>
      <c r="O26" s="2">
        <f t="shared" si="1"/>
        <v>55</v>
      </c>
      <c r="P26" s="2">
        <f t="shared" si="2"/>
        <v>55</v>
      </c>
      <c r="Q26" s="4">
        <f>IFERROR(input_table[[#This Row],[est. profit]]/input_table[[#This Row],[Purchased]],)</f>
        <v>0.42307692307692307</v>
      </c>
      <c r="R26"/>
      <c r="S26"/>
      <c r="W26" s="2"/>
    </row>
    <row r="27" spans="1:23" x14ac:dyDescent="0.25">
      <c r="A27" t="s">
        <v>33</v>
      </c>
      <c r="B27" t="s">
        <v>51</v>
      </c>
      <c r="C27" t="s">
        <v>51</v>
      </c>
      <c r="D27" t="s">
        <v>100</v>
      </c>
      <c r="E27" t="s">
        <v>34</v>
      </c>
      <c r="F27" t="s">
        <v>93</v>
      </c>
      <c r="G27" s="18">
        <v>240</v>
      </c>
      <c r="H27" s="19">
        <v>44615</v>
      </c>
      <c r="I27" s="18">
        <v>260</v>
      </c>
      <c r="J27" s="1">
        <v>44617</v>
      </c>
      <c r="K27" t="s">
        <v>89</v>
      </c>
      <c r="M27">
        <f t="shared" si="0"/>
        <v>2</v>
      </c>
      <c r="N27" t="s">
        <v>32</v>
      </c>
      <c r="O27" s="2">
        <f t="shared" si="1"/>
        <v>20</v>
      </c>
      <c r="P27" s="2">
        <f t="shared" si="2"/>
        <v>20</v>
      </c>
      <c r="Q27" s="4">
        <f>IFERROR(input_table[[#This Row],[est. profit]]/input_table[[#This Row],[Purchased]],)</f>
        <v>8.3333333333333329E-2</v>
      </c>
      <c r="R27"/>
      <c r="W27" s="2"/>
    </row>
    <row r="28" spans="1:23" x14ac:dyDescent="0.25">
      <c r="A28" t="s">
        <v>33</v>
      </c>
      <c r="B28" t="s">
        <v>51</v>
      </c>
      <c r="C28" t="s">
        <v>51</v>
      </c>
      <c r="D28" t="s">
        <v>102</v>
      </c>
      <c r="E28" t="s">
        <v>34</v>
      </c>
      <c r="F28" t="s">
        <v>101</v>
      </c>
      <c r="G28" s="18">
        <v>215</v>
      </c>
      <c r="H28" s="19">
        <v>44617</v>
      </c>
      <c r="I28" s="18">
        <v>260</v>
      </c>
      <c r="J28" s="1">
        <v>44620</v>
      </c>
      <c r="K28" t="s">
        <v>89</v>
      </c>
      <c r="M28">
        <f t="shared" si="0"/>
        <v>3</v>
      </c>
      <c r="N28" t="s">
        <v>32</v>
      </c>
      <c r="O28" s="2">
        <f t="shared" si="1"/>
        <v>45</v>
      </c>
      <c r="P28" s="2">
        <f t="shared" si="2"/>
        <v>45</v>
      </c>
      <c r="Q28" s="4">
        <f>IFERROR(input_table[[#This Row],[est. profit]]/input_table[[#This Row],[Purchased]],)</f>
        <v>0.20930232558139536</v>
      </c>
      <c r="R28"/>
      <c r="W28" s="2"/>
    </row>
    <row r="29" spans="1:23" x14ac:dyDescent="0.25">
      <c r="A29" t="s">
        <v>33</v>
      </c>
      <c r="B29" t="s">
        <v>51</v>
      </c>
      <c r="C29" t="s">
        <v>51</v>
      </c>
      <c r="D29" t="s">
        <v>103</v>
      </c>
      <c r="E29" t="s">
        <v>34</v>
      </c>
      <c r="F29" t="s">
        <v>104</v>
      </c>
      <c r="G29" s="18">
        <v>90</v>
      </c>
      <c r="H29" s="19">
        <v>44617</v>
      </c>
      <c r="I29" s="18">
        <v>100</v>
      </c>
      <c r="J29" s="1">
        <v>44620</v>
      </c>
      <c r="K29" t="s">
        <v>89</v>
      </c>
      <c r="M29">
        <f t="shared" si="0"/>
        <v>3</v>
      </c>
      <c r="N29" t="s">
        <v>32</v>
      </c>
      <c r="O29" s="2">
        <f t="shared" si="1"/>
        <v>10</v>
      </c>
      <c r="P29" s="2">
        <f t="shared" si="2"/>
        <v>10</v>
      </c>
      <c r="Q29" s="4">
        <f>IFERROR(input_table[[#This Row],[est. profit]]/input_table[[#This Row],[Purchased]],)</f>
        <v>0.1111111111111111</v>
      </c>
      <c r="R29"/>
      <c r="W29" s="2"/>
    </row>
    <row r="30" spans="1:23" x14ac:dyDescent="0.25">
      <c r="A30" t="s">
        <v>33</v>
      </c>
      <c r="B30" t="s">
        <v>51</v>
      </c>
      <c r="C30" t="s">
        <v>51</v>
      </c>
      <c r="D30" t="s">
        <v>53</v>
      </c>
      <c r="E30" t="s">
        <v>31</v>
      </c>
      <c r="F30" t="s">
        <v>78</v>
      </c>
      <c r="G30" s="18">
        <v>225.3</v>
      </c>
      <c r="H30" s="19">
        <v>44634</v>
      </c>
      <c r="I30" s="18">
        <v>300</v>
      </c>
      <c r="J30" s="1">
        <v>44634</v>
      </c>
      <c r="K30" t="s">
        <v>112</v>
      </c>
      <c r="M30">
        <f t="shared" si="0"/>
        <v>0</v>
      </c>
      <c r="N30" t="s">
        <v>32</v>
      </c>
      <c r="O30" s="2">
        <f t="shared" si="1"/>
        <v>74.699999999999989</v>
      </c>
      <c r="P30" s="2">
        <f t="shared" si="2"/>
        <v>74.699999999999989</v>
      </c>
      <c r="Q30" s="4">
        <f>IFERROR(input_table[[#This Row],[est. profit]]/input_table[[#This Row],[Purchased]],)</f>
        <v>0.33155792276964041</v>
      </c>
      <c r="R30"/>
      <c r="W30" s="2"/>
    </row>
    <row r="31" spans="1:23" x14ac:dyDescent="0.25">
      <c r="A31" t="s">
        <v>9</v>
      </c>
      <c r="B31" t="s">
        <v>10</v>
      </c>
      <c r="C31" t="s">
        <v>10</v>
      </c>
      <c r="D31" t="s">
        <v>12</v>
      </c>
      <c r="E31">
        <v>4.5</v>
      </c>
      <c r="F31" t="s">
        <v>111</v>
      </c>
      <c r="G31" s="18">
        <v>55</v>
      </c>
      <c r="H31" s="19">
        <v>44621</v>
      </c>
      <c r="I31" s="18">
        <v>90</v>
      </c>
      <c r="J31" s="1">
        <v>44636</v>
      </c>
      <c r="K31" t="s">
        <v>112</v>
      </c>
      <c r="M31">
        <f t="shared" si="0"/>
        <v>15</v>
      </c>
      <c r="N31" t="s">
        <v>24</v>
      </c>
      <c r="O31" s="2">
        <f t="shared" si="1"/>
        <v>35</v>
      </c>
      <c r="P31" s="2">
        <f t="shared" si="2"/>
        <v>35</v>
      </c>
      <c r="Q31" s="4">
        <f>IFERROR(input_table[[#This Row],[est. profit]]/input_table[[#This Row],[Purchased]],)</f>
        <v>0.63636363636363635</v>
      </c>
      <c r="R31"/>
      <c r="W31" s="2"/>
    </row>
    <row r="32" spans="1:23" x14ac:dyDescent="0.25">
      <c r="A32" t="s">
        <v>33</v>
      </c>
      <c r="B32" t="s">
        <v>75</v>
      </c>
      <c r="C32" t="s">
        <v>75</v>
      </c>
      <c r="D32" t="s">
        <v>92</v>
      </c>
      <c r="E32" t="s">
        <v>83</v>
      </c>
      <c r="F32" t="s">
        <v>93</v>
      </c>
      <c r="G32" s="18">
        <v>35</v>
      </c>
      <c r="H32" s="19">
        <v>44605</v>
      </c>
      <c r="I32" s="18">
        <v>65</v>
      </c>
      <c r="J32" s="1">
        <v>44636</v>
      </c>
      <c r="K32" t="s">
        <v>112</v>
      </c>
      <c r="M32">
        <f t="shared" si="0"/>
        <v>31</v>
      </c>
      <c r="N32" t="s">
        <v>22</v>
      </c>
      <c r="O32" s="2">
        <f t="shared" si="1"/>
        <v>30</v>
      </c>
      <c r="P32" s="2">
        <f t="shared" si="2"/>
        <v>30</v>
      </c>
      <c r="Q32" s="4">
        <f>IFERROR(input_table[[#This Row],[est. profit]]/input_table[[#This Row],[Purchased]],)</f>
        <v>0.8571428571428571</v>
      </c>
      <c r="R32"/>
      <c r="W32" s="2"/>
    </row>
    <row r="33" spans="1:23" x14ac:dyDescent="0.25">
      <c r="A33" t="s">
        <v>9</v>
      </c>
      <c r="B33" t="s">
        <v>22</v>
      </c>
      <c r="C33" t="s">
        <v>96</v>
      </c>
      <c r="D33" t="s">
        <v>98</v>
      </c>
      <c r="E33">
        <v>8.5</v>
      </c>
      <c r="F33" t="s">
        <v>99</v>
      </c>
      <c r="G33" s="18">
        <v>305</v>
      </c>
      <c r="H33" s="19">
        <v>44614</v>
      </c>
      <c r="I33" s="18">
        <v>353</v>
      </c>
      <c r="J33" s="1">
        <v>44641</v>
      </c>
      <c r="K33" t="s">
        <v>112</v>
      </c>
      <c r="M33">
        <f t="shared" si="0"/>
        <v>27</v>
      </c>
      <c r="N33" t="s">
        <v>22</v>
      </c>
      <c r="O33" s="2">
        <f t="shared" si="1"/>
        <v>48</v>
      </c>
      <c r="P33" s="2">
        <f t="shared" si="2"/>
        <v>48</v>
      </c>
      <c r="Q33" s="4">
        <f>IFERROR(input_table[[#This Row],[est. profit]]/input_table[[#This Row],[Purchased]],)</f>
        <v>0.15737704918032788</v>
      </c>
      <c r="R33"/>
      <c r="W33" s="2"/>
    </row>
    <row r="34" spans="1:23" x14ac:dyDescent="0.25">
      <c r="A34" s="10" t="s">
        <v>33</v>
      </c>
      <c r="B34" s="10" t="s">
        <v>51</v>
      </c>
      <c r="C34" s="10" t="s">
        <v>51</v>
      </c>
      <c r="D34" t="s">
        <v>53</v>
      </c>
      <c r="E34" t="s">
        <v>49</v>
      </c>
      <c r="F34" s="10" t="s">
        <v>64</v>
      </c>
      <c r="G34" s="18">
        <v>220</v>
      </c>
      <c r="H34" s="19">
        <v>44561</v>
      </c>
      <c r="I34" s="18">
        <v>225</v>
      </c>
      <c r="J34" s="17">
        <v>44641</v>
      </c>
      <c r="K34" s="1" t="s">
        <v>112</v>
      </c>
      <c r="M34">
        <f t="shared" ref="M34:M65" si="3">IF(J34&lt;&gt;"",J34-H34,"")</f>
        <v>80</v>
      </c>
      <c r="N34" t="s">
        <v>22</v>
      </c>
      <c r="O34" s="2">
        <f t="shared" si="1"/>
        <v>5</v>
      </c>
      <c r="P34" s="2">
        <f t="shared" si="2"/>
        <v>5</v>
      </c>
      <c r="Q34" s="4">
        <f>IFERROR(input_table[[#This Row],[est. profit]]/input_table[[#This Row],[Purchased]],)</f>
        <v>2.2727272727272728E-2</v>
      </c>
      <c r="R34"/>
      <c r="W34" s="2"/>
    </row>
    <row r="35" spans="1:23" x14ac:dyDescent="0.25">
      <c r="A35" t="s">
        <v>9</v>
      </c>
      <c r="B35" t="s">
        <v>22</v>
      </c>
      <c r="C35" t="s">
        <v>11</v>
      </c>
      <c r="D35" t="s">
        <v>20</v>
      </c>
      <c r="E35">
        <v>8</v>
      </c>
      <c r="F35" t="s">
        <v>109</v>
      </c>
      <c r="G35" s="18">
        <v>130</v>
      </c>
      <c r="H35" s="19">
        <v>44618</v>
      </c>
      <c r="I35" s="18">
        <v>162</v>
      </c>
      <c r="J35" s="1">
        <v>44643</v>
      </c>
      <c r="K35" t="s">
        <v>112</v>
      </c>
      <c r="M35">
        <f t="shared" si="3"/>
        <v>25</v>
      </c>
      <c r="N35" t="s">
        <v>24</v>
      </c>
      <c r="O35" s="2">
        <f t="shared" si="1"/>
        <v>32</v>
      </c>
      <c r="P35" s="2">
        <f t="shared" si="2"/>
        <v>32</v>
      </c>
      <c r="Q35" s="4">
        <f>IFERROR(input_table[[#This Row],[est. profit]]/input_table[[#This Row],[Purchased]],)</f>
        <v>0.24615384615384617</v>
      </c>
      <c r="R35"/>
      <c r="W35" s="2"/>
    </row>
    <row r="36" spans="1:23" x14ac:dyDescent="0.25">
      <c r="A36" s="10" t="s">
        <v>33</v>
      </c>
      <c r="B36" s="10" t="s">
        <v>51</v>
      </c>
      <c r="C36" s="10" t="s">
        <v>51</v>
      </c>
      <c r="D36" t="s">
        <v>53</v>
      </c>
      <c r="E36" t="s">
        <v>49</v>
      </c>
      <c r="F36" s="10" t="s">
        <v>64</v>
      </c>
      <c r="G36" s="18">
        <v>220</v>
      </c>
      <c r="H36" s="19">
        <v>44561</v>
      </c>
      <c r="I36" s="18">
        <v>255</v>
      </c>
      <c r="J36" s="17">
        <v>44643</v>
      </c>
      <c r="K36" s="1" t="s">
        <v>112</v>
      </c>
      <c r="M36">
        <f t="shared" si="3"/>
        <v>82</v>
      </c>
      <c r="N36" t="s">
        <v>80</v>
      </c>
      <c r="O36" s="2">
        <f t="shared" si="1"/>
        <v>35</v>
      </c>
      <c r="P36" s="2">
        <f t="shared" si="2"/>
        <v>35</v>
      </c>
      <c r="Q36" s="4">
        <f>IFERROR(input_table[[#This Row],[est. profit]]/input_table[[#This Row],[Purchased]],)</f>
        <v>0.15909090909090909</v>
      </c>
      <c r="R36"/>
      <c r="W36" s="2"/>
    </row>
    <row r="37" spans="1:23" x14ac:dyDescent="0.25">
      <c r="A37" t="s">
        <v>33</v>
      </c>
      <c r="B37" t="s">
        <v>51</v>
      </c>
      <c r="C37" t="s">
        <v>51</v>
      </c>
      <c r="D37" t="s">
        <v>124</v>
      </c>
      <c r="E37" t="s">
        <v>31</v>
      </c>
      <c r="F37" t="s">
        <v>121</v>
      </c>
      <c r="G37" s="18">
        <v>137.44999999999999</v>
      </c>
      <c r="H37" s="19">
        <v>44651</v>
      </c>
      <c r="I37" s="18">
        <v>200</v>
      </c>
      <c r="J37" s="1">
        <v>44650</v>
      </c>
      <c r="K37" t="s">
        <v>112</v>
      </c>
      <c r="M37">
        <f t="shared" si="3"/>
        <v>-1</v>
      </c>
      <c r="N37" t="s">
        <v>32</v>
      </c>
      <c r="O37" s="2">
        <f t="shared" si="1"/>
        <v>62.550000000000011</v>
      </c>
      <c r="P37" s="2">
        <f t="shared" si="2"/>
        <v>62.550000000000011</v>
      </c>
      <c r="Q37" s="4">
        <f>IFERROR(input_table[[#This Row],[est. profit]]/input_table[[#This Row],[Purchased]],)</f>
        <v>0.45507457257184442</v>
      </c>
      <c r="R37"/>
      <c r="W37" s="2"/>
    </row>
    <row r="38" spans="1:23" x14ac:dyDescent="0.25">
      <c r="A38" t="s">
        <v>33</v>
      </c>
      <c r="B38" t="s">
        <v>51</v>
      </c>
      <c r="C38" t="s">
        <v>51</v>
      </c>
      <c r="D38" t="s">
        <v>105</v>
      </c>
      <c r="E38" t="s">
        <v>106</v>
      </c>
      <c r="F38" t="s">
        <v>78</v>
      </c>
      <c r="G38" s="18">
        <v>180</v>
      </c>
      <c r="H38" s="19">
        <v>44617</v>
      </c>
      <c r="I38" s="18">
        <v>245</v>
      </c>
      <c r="J38" s="1">
        <v>44656</v>
      </c>
      <c r="K38" t="s">
        <v>136</v>
      </c>
      <c r="M38">
        <f t="shared" si="3"/>
        <v>39</v>
      </c>
      <c r="N38" t="s">
        <v>80</v>
      </c>
      <c r="O38" s="2">
        <f t="shared" si="1"/>
        <v>65</v>
      </c>
      <c r="P38" s="2">
        <f t="shared" si="2"/>
        <v>65</v>
      </c>
      <c r="Q38" s="4">
        <f>IFERROR(input_table[[#This Row],[est. profit]]/input_table[[#This Row],[Purchased]],)</f>
        <v>0.3611111111111111</v>
      </c>
      <c r="R38"/>
      <c r="W38" s="2"/>
    </row>
    <row r="39" spans="1:23" x14ac:dyDescent="0.25">
      <c r="A39" t="s">
        <v>33</v>
      </c>
      <c r="B39" t="s">
        <v>51</v>
      </c>
      <c r="C39" t="s">
        <v>51</v>
      </c>
      <c r="D39" t="s">
        <v>100</v>
      </c>
      <c r="E39" t="s">
        <v>107</v>
      </c>
      <c r="F39" t="s">
        <v>108</v>
      </c>
      <c r="G39" s="18">
        <v>247</v>
      </c>
      <c r="H39" s="19">
        <v>44619</v>
      </c>
      <c r="I39" s="18">
        <v>288</v>
      </c>
      <c r="J39" s="1">
        <v>44659</v>
      </c>
      <c r="K39" t="s">
        <v>136</v>
      </c>
      <c r="M39">
        <f t="shared" si="3"/>
        <v>40</v>
      </c>
      <c r="N39" t="s">
        <v>22</v>
      </c>
      <c r="O39" s="2">
        <f t="shared" si="1"/>
        <v>41</v>
      </c>
      <c r="P39" s="2">
        <f t="shared" si="2"/>
        <v>41</v>
      </c>
      <c r="Q39" s="4">
        <f>IFERROR(input_table[[#This Row],[est. profit]]/input_table[[#This Row],[Purchased]],)</f>
        <v>0.16599190283400811</v>
      </c>
      <c r="R39"/>
      <c r="W39" s="2"/>
    </row>
    <row r="40" spans="1:23" x14ac:dyDescent="0.25">
      <c r="A40" t="s">
        <v>113</v>
      </c>
      <c r="B40" t="s">
        <v>187</v>
      </c>
      <c r="C40" t="s">
        <v>114</v>
      </c>
      <c r="D40" t="s">
        <v>115</v>
      </c>
      <c r="E40" t="s">
        <v>83</v>
      </c>
      <c r="F40" t="s">
        <v>116</v>
      </c>
      <c r="G40" s="18">
        <v>270</v>
      </c>
      <c r="H40" s="19">
        <v>44642</v>
      </c>
      <c r="I40" s="18">
        <v>800</v>
      </c>
      <c r="J40" s="1">
        <v>44660</v>
      </c>
      <c r="K40" t="s">
        <v>136</v>
      </c>
      <c r="M40">
        <f t="shared" si="3"/>
        <v>18</v>
      </c>
      <c r="N40" t="s">
        <v>22</v>
      </c>
      <c r="O40" s="2">
        <f t="shared" si="1"/>
        <v>530</v>
      </c>
      <c r="P40" s="2">
        <f t="shared" si="2"/>
        <v>530</v>
      </c>
      <c r="Q40" s="4">
        <f>IFERROR(input_table[[#This Row],[est. profit]]/input_table[[#This Row],[Purchased]],)</f>
        <v>1.962962962962963</v>
      </c>
      <c r="R40"/>
      <c r="W40" s="2"/>
    </row>
    <row r="41" spans="1:23" x14ac:dyDescent="0.25">
      <c r="A41" t="s">
        <v>9</v>
      </c>
      <c r="B41" t="s">
        <v>10</v>
      </c>
      <c r="C41" t="s">
        <v>10</v>
      </c>
      <c r="D41" t="s">
        <v>12</v>
      </c>
      <c r="E41">
        <v>7</v>
      </c>
      <c r="F41" t="s">
        <v>95</v>
      </c>
      <c r="G41" s="18">
        <v>90</v>
      </c>
      <c r="H41" s="19">
        <v>44607</v>
      </c>
      <c r="I41" s="18">
        <v>150</v>
      </c>
      <c r="J41" s="1">
        <v>44665</v>
      </c>
      <c r="K41" t="s">
        <v>136</v>
      </c>
      <c r="M41">
        <f t="shared" si="3"/>
        <v>58</v>
      </c>
      <c r="N41" t="s">
        <v>32</v>
      </c>
      <c r="O41" s="2">
        <f t="shared" si="1"/>
        <v>60</v>
      </c>
      <c r="P41" s="2">
        <f t="shared" si="2"/>
        <v>60</v>
      </c>
      <c r="Q41" s="4">
        <f>IFERROR(input_table[[#This Row],[est. profit]]/input_table[[#This Row],[Purchased]],)</f>
        <v>0.66666666666666663</v>
      </c>
      <c r="R41"/>
      <c r="W41" s="2"/>
    </row>
    <row r="42" spans="1:23" x14ac:dyDescent="0.25">
      <c r="A42" t="s">
        <v>9</v>
      </c>
      <c r="B42" t="s">
        <v>10</v>
      </c>
      <c r="C42" t="s">
        <v>10</v>
      </c>
      <c r="D42" t="s">
        <v>12</v>
      </c>
      <c r="E42">
        <v>8.5</v>
      </c>
      <c r="F42" t="s">
        <v>126</v>
      </c>
      <c r="G42" s="18">
        <v>89.95</v>
      </c>
      <c r="H42" s="19">
        <v>44651</v>
      </c>
      <c r="I42" s="18">
        <v>176.76</v>
      </c>
      <c r="J42" s="1">
        <v>44667</v>
      </c>
      <c r="K42" t="s">
        <v>136</v>
      </c>
      <c r="M42">
        <f t="shared" si="3"/>
        <v>16</v>
      </c>
      <c r="N42" t="s">
        <v>140</v>
      </c>
      <c r="O42" s="2">
        <f t="shared" si="1"/>
        <v>86.809999999999988</v>
      </c>
      <c r="P42" s="2">
        <f t="shared" si="2"/>
        <v>86.809999999999988</v>
      </c>
      <c r="Q42" s="4">
        <f>IFERROR(input_table[[#This Row],[est. profit]]/input_table[[#This Row],[Purchased]],)</f>
        <v>0.96509171762090029</v>
      </c>
      <c r="R42"/>
      <c r="W42" s="2"/>
    </row>
    <row r="43" spans="1:23" x14ac:dyDescent="0.25">
      <c r="A43" t="s">
        <v>9</v>
      </c>
      <c r="B43" t="s">
        <v>183</v>
      </c>
      <c r="C43" t="s">
        <v>11</v>
      </c>
      <c r="D43">
        <v>4</v>
      </c>
      <c r="E43">
        <v>8</v>
      </c>
      <c r="F43" t="s">
        <v>71</v>
      </c>
      <c r="G43" s="18">
        <v>255</v>
      </c>
      <c r="H43" s="19">
        <v>44578</v>
      </c>
      <c r="I43" s="18">
        <v>295</v>
      </c>
      <c r="J43" s="1">
        <v>44668</v>
      </c>
      <c r="K43" t="s">
        <v>136</v>
      </c>
      <c r="M43">
        <f t="shared" si="3"/>
        <v>90</v>
      </c>
      <c r="N43" t="s">
        <v>22</v>
      </c>
      <c r="O43" s="2">
        <f t="shared" si="1"/>
        <v>40</v>
      </c>
      <c r="P43" s="2">
        <f t="shared" si="2"/>
        <v>40</v>
      </c>
      <c r="Q43" s="4">
        <f>IFERROR(input_table[[#This Row],[est. profit]]/input_table[[#This Row],[Purchased]],)</f>
        <v>0.15686274509803921</v>
      </c>
      <c r="R43"/>
      <c r="W43" s="2"/>
    </row>
    <row r="44" spans="1:23" x14ac:dyDescent="0.25">
      <c r="A44" t="s">
        <v>9</v>
      </c>
      <c r="B44" t="s">
        <v>183</v>
      </c>
      <c r="C44" t="s">
        <v>11</v>
      </c>
      <c r="D44">
        <v>4</v>
      </c>
      <c r="E44">
        <v>8.5</v>
      </c>
      <c r="F44" t="s">
        <v>71</v>
      </c>
      <c r="G44" s="18">
        <v>265</v>
      </c>
      <c r="H44" s="19">
        <v>44578</v>
      </c>
      <c r="I44" s="18">
        <v>290</v>
      </c>
      <c r="J44" s="1">
        <v>44670</v>
      </c>
      <c r="K44" t="s">
        <v>136</v>
      </c>
      <c r="M44">
        <f t="shared" si="3"/>
        <v>92</v>
      </c>
      <c r="N44" t="s">
        <v>22</v>
      </c>
      <c r="O44" s="2">
        <f t="shared" si="1"/>
        <v>25</v>
      </c>
      <c r="P44" s="2">
        <f t="shared" si="2"/>
        <v>25</v>
      </c>
      <c r="Q44" s="4">
        <f>IFERROR(input_table[[#This Row],[est. profit]]/input_table[[#This Row],[Purchased]],)</f>
        <v>9.4339622641509441E-2</v>
      </c>
      <c r="R44"/>
      <c r="W44" s="2"/>
    </row>
    <row r="45" spans="1:23" x14ac:dyDescent="0.25">
      <c r="A45" t="s">
        <v>9</v>
      </c>
      <c r="B45" t="s">
        <v>22</v>
      </c>
      <c r="C45" t="s">
        <v>96</v>
      </c>
      <c r="D45">
        <v>700</v>
      </c>
      <c r="E45">
        <v>9</v>
      </c>
      <c r="F45" t="s">
        <v>97</v>
      </c>
      <c r="G45" s="18">
        <v>130</v>
      </c>
      <c r="H45" s="19">
        <v>44611</v>
      </c>
      <c r="I45" s="18">
        <v>210</v>
      </c>
      <c r="J45" s="1">
        <v>44672</v>
      </c>
      <c r="K45" t="s">
        <v>136</v>
      </c>
      <c r="M45">
        <f t="shared" si="3"/>
        <v>61</v>
      </c>
      <c r="N45" t="s">
        <v>22</v>
      </c>
      <c r="O45" s="2">
        <f t="shared" si="1"/>
        <v>80</v>
      </c>
      <c r="P45" s="2">
        <f t="shared" si="2"/>
        <v>80</v>
      </c>
      <c r="Q45" s="4">
        <f>IFERROR(input_table[[#This Row],[est. profit]]/input_table[[#This Row],[Purchased]],)</f>
        <v>0.61538461538461542</v>
      </c>
      <c r="R45"/>
      <c r="W45" s="2"/>
    </row>
    <row r="46" spans="1:23" x14ac:dyDescent="0.25">
      <c r="A46" t="s">
        <v>33</v>
      </c>
      <c r="B46" t="s">
        <v>51</v>
      </c>
      <c r="C46" t="s">
        <v>51</v>
      </c>
      <c r="D46" t="s">
        <v>125</v>
      </c>
      <c r="E46" t="s">
        <v>107</v>
      </c>
      <c r="F46" t="s">
        <v>123</v>
      </c>
      <c r="G46" s="18">
        <v>180.45</v>
      </c>
      <c r="H46" s="19">
        <v>44651</v>
      </c>
      <c r="I46" s="18">
        <v>250</v>
      </c>
      <c r="J46" s="1">
        <v>44674</v>
      </c>
      <c r="K46" t="s">
        <v>136</v>
      </c>
      <c r="M46">
        <f t="shared" si="3"/>
        <v>23</v>
      </c>
      <c r="N46" t="s">
        <v>32</v>
      </c>
      <c r="O46" s="2">
        <f t="shared" si="1"/>
        <v>69.550000000000011</v>
      </c>
      <c r="P46" s="2">
        <f t="shared" si="2"/>
        <v>69.550000000000011</v>
      </c>
      <c r="Q46" s="4">
        <f>IFERROR(input_table[[#This Row],[est. profit]]/input_table[[#This Row],[Purchased]],)</f>
        <v>0.38542532557495157</v>
      </c>
      <c r="R46"/>
      <c r="W46" s="2"/>
    </row>
    <row r="47" spans="1:23" x14ac:dyDescent="0.25">
      <c r="A47" t="s">
        <v>9</v>
      </c>
      <c r="B47" t="s">
        <v>22</v>
      </c>
      <c r="C47" t="s">
        <v>11</v>
      </c>
      <c r="D47" t="s">
        <v>69</v>
      </c>
      <c r="E47">
        <v>9.5</v>
      </c>
      <c r="F47" t="s">
        <v>139</v>
      </c>
      <c r="G47" s="18">
        <v>109.95</v>
      </c>
      <c r="H47" s="19">
        <v>44658</v>
      </c>
      <c r="I47" s="18">
        <v>155.51</v>
      </c>
      <c r="J47" s="1">
        <v>44676</v>
      </c>
      <c r="K47" t="s">
        <v>136</v>
      </c>
      <c r="M47">
        <f t="shared" si="3"/>
        <v>18</v>
      </c>
      <c r="N47" t="s">
        <v>140</v>
      </c>
      <c r="O47" s="2">
        <f t="shared" si="1"/>
        <v>45.559999999999988</v>
      </c>
      <c r="P47" s="2">
        <f t="shared" si="2"/>
        <v>45.559999999999988</v>
      </c>
      <c r="Q47" s="4">
        <f>IFERROR(input_table[[#This Row],[est. profit]]/input_table[[#This Row],[Purchased]],)</f>
        <v>0.41437016825829909</v>
      </c>
      <c r="R47"/>
      <c r="W47" s="2"/>
    </row>
    <row r="48" spans="1:23" x14ac:dyDescent="0.25">
      <c r="A48" t="s">
        <v>9</v>
      </c>
      <c r="B48" t="s">
        <v>22</v>
      </c>
      <c r="C48" t="s">
        <v>11</v>
      </c>
      <c r="D48" t="s">
        <v>69</v>
      </c>
      <c r="E48">
        <v>10</v>
      </c>
      <c r="F48" t="s">
        <v>70</v>
      </c>
      <c r="G48" s="18">
        <v>155</v>
      </c>
      <c r="H48" s="19">
        <v>44676</v>
      </c>
      <c r="I48" s="18">
        <v>180</v>
      </c>
      <c r="J48" s="1">
        <v>44676</v>
      </c>
      <c r="K48" t="s">
        <v>136</v>
      </c>
      <c r="M48">
        <f t="shared" si="3"/>
        <v>0</v>
      </c>
      <c r="N48" t="s">
        <v>80</v>
      </c>
      <c r="O48" s="2">
        <f t="shared" si="1"/>
        <v>25</v>
      </c>
      <c r="P48" s="2">
        <f t="shared" si="2"/>
        <v>25</v>
      </c>
      <c r="Q48" s="4">
        <f>IFERROR(input_table[[#This Row],[est. profit]]/input_table[[#This Row],[Purchased]],)</f>
        <v>0.16129032258064516</v>
      </c>
      <c r="R48"/>
      <c r="W48" s="2"/>
    </row>
    <row r="49" spans="1:23" x14ac:dyDescent="0.25">
      <c r="A49" t="s">
        <v>9</v>
      </c>
      <c r="B49" t="s">
        <v>22</v>
      </c>
      <c r="C49" t="s">
        <v>11</v>
      </c>
      <c r="D49" t="s">
        <v>69</v>
      </c>
      <c r="E49">
        <v>8</v>
      </c>
      <c r="F49" t="s">
        <v>110</v>
      </c>
      <c r="G49" s="18">
        <v>103</v>
      </c>
      <c r="H49" s="19">
        <v>44619</v>
      </c>
      <c r="I49" s="18">
        <v>158.66999999999999</v>
      </c>
      <c r="J49" s="1">
        <v>44679</v>
      </c>
      <c r="K49" t="s">
        <v>136</v>
      </c>
      <c r="M49">
        <f t="shared" si="3"/>
        <v>60</v>
      </c>
      <c r="N49" t="s">
        <v>23</v>
      </c>
      <c r="O49" s="2">
        <f t="shared" si="1"/>
        <v>55.669999999999987</v>
      </c>
      <c r="P49" s="2">
        <f t="shared" si="2"/>
        <v>55.669999999999987</v>
      </c>
      <c r="Q49" s="4">
        <f>IFERROR(input_table[[#This Row],[est. profit]]/input_table[[#This Row],[Purchased]],)</f>
        <v>0.54048543689320372</v>
      </c>
      <c r="R49"/>
      <c r="W49" s="2"/>
    </row>
    <row r="50" spans="1:23" x14ac:dyDescent="0.25">
      <c r="A50" t="s">
        <v>33</v>
      </c>
      <c r="B50" t="s">
        <v>51</v>
      </c>
      <c r="C50" t="s">
        <v>51</v>
      </c>
      <c r="D50" t="s">
        <v>149</v>
      </c>
      <c r="E50" t="s">
        <v>34</v>
      </c>
      <c r="F50" t="s">
        <v>101</v>
      </c>
      <c r="G50" s="18">
        <v>175.45</v>
      </c>
      <c r="H50" s="19">
        <v>44687</v>
      </c>
      <c r="I50" s="18">
        <v>220</v>
      </c>
      <c r="J50" s="1">
        <v>44687</v>
      </c>
      <c r="K50" t="s">
        <v>148</v>
      </c>
      <c r="M50">
        <f t="shared" si="3"/>
        <v>0</v>
      </c>
      <c r="N50" t="s">
        <v>32</v>
      </c>
      <c r="O50" s="2">
        <f t="shared" si="1"/>
        <v>44.550000000000011</v>
      </c>
      <c r="P50" s="2">
        <f t="shared" si="2"/>
        <v>44.550000000000011</v>
      </c>
      <c r="Q50" s="4">
        <f>IFERROR(input_table[[#This Row],[est. profit]]/input_table[[#This Row],[Purchased]],)</f>
        <v>0.25391849529780575</v>
      </c>
      <c r="R50"/>
      <c r="W50" s="2"/>
    </row>
    <row r="51" spans="1:23" x14ac:dyDescent="0.25">
      <c r="A51" t="s">
        <v>9</v>
      </c>
      <c r="B51" t="s">
        <v>183</v>
      </c>
      <c r="C51" t="s">
        <v>11</v>
      </c>
      <c r="D51">
        <v>4</v>
      </c>
      <c r="E51">
        <v>4</v>
      </c>
      <c r="F51" t="s">
        <v>146</v>
      </c>
      <c r="G51" s="18">
        <v>135</v>
      </c>
      <c r="H51" s="19">
        <v>44680</v>
      </c>
      <c r="I51" s="18">
        <v>193.76</v>
      </c>
      <c r="J51" s="1">
        <v>44689</v>
      </c>
      <c r="K51" t="s">
        <v>148</v>
      </c>
      <c r="M51">
        <f t="shared" si="3"/>
        <v>9</v>
      </c>
      <c r="N51" t="s">
        <v>140</v>
      </c>
      <c r="O51" s="2">
        <f t="shared" si="1"/>
        <v>58.759999999999991</v>
      </c>
      <c r="P51" s="2">
        <f t="shared" si="2"/>
        <v>58.759999999999991</v>
      </c>
      <c r="Q51" s="4">
        <f>IFERROR(input_table[[#This Row],[est. profit]]/input_table[[#This Row],[Purchased]],)</f>
        <v>0.43525925925925918</v>
      </c>
      <c r="R51"/>
      <c r="W51" s="2"/>
    </row>
    <row r="52" spans="1:23" x14ac:dyDescent="0.25">
      <c r="A52" t="s">
        <v>9</v>
      </c>
      <c r="B52" t="s">
        <v>183</v>
      </c>
      <c r="C52" t="s">
        <v>11</v>
      </c>
      <c r="D52">
        <v>4</v>
      </c>
      <c r="E52">
        <v>7</v>
      </c>
      <c r="F52" t="s">
        <v>146</v>
      </c>
      <c r="G52" s="18">
        <v>135</v>
      </c>
      <c r="H52" s="19">
        <v>44680</v>
      </c>
      <c r="I52" s="18">
        <v>285</v>
      </c>
      <c r="J52" s="1">
        <v>44695</v>
      </c>
      <c r="K52" t="s">
        <v>148</v>
      </c>
      <c r="M52">
        <f t="shared" si="3"/>
        <v>15</v>
      </c>
      <c r="N52" t="s">
        <v>151</v>
      </c>
      <c r="O52" s="2">
        <f t="shared" si="1"/>
        <v>150</v>
      </c>
      <c r="P52" s="2">
        <f t="shared" si="2"/>
        <v>150</v>
      </c>
      <c r="Q52" s="4">
        <f>IFERROR(input_table[[#This Row],[est. profit]]/input_table[[#This Row],[Purchased]],)</f>
        <v>1.1111111111111112</v>
      </c>
      <c r="R52"/>
      <c r="W52" s="2"/>
    </row>
    <row r="53" spans="1:23" x14ac:dyDescent="0.25">
      <c r="A53" t="s">
        <v>9</v>
      </c>
      <c r="B53" t="s">
        <v>10</v>
      </c>
      <c r="C53" t="s">
        <v>11</v>
      </c>
      <c r="D53" t="s">
        <v>20</v>
      </c>
      <c r="E53">
        <v>10.5</v>
      </c>
      <c r="F53" t="s">
        <v>138</v>
      </c>
      <c r="G53" s="18">
        <v>99.95</v>
      </c>
      <c r="H53" s="19">
        <v>44658</v>
      </c>
      <c r="I53" s="18">
        <v>134.26</v>
      </c>
      <c r="J53" s="1">
        <v>44696</v>
      </c>
      <c r="K53" t="s">
        <v>148</v>
      </c>
      <c r="M53">
        <f t="shared" si="3"/>
        <v>38</v>
      </c>
      <c r="N53" t="s">
        <v>140</v>
      </c>
      <c r="O53" s="2">
        <f t="shared" si="1"/>
        <v>34.309999999999988</v>
      </c>
      <c r="P53" s="2">
        <f t="shared" si="2"/>
        <v>34.309999999999988</v>
      </c>
      <c r="Q53" s="4">
        <f>IFERROR(input_table[[#This Row],[est. profit]]/input_table[[#This Row],[Purchased]],)</f>
        <v>0.34327163581790882</v>
      </c>
      <c r="R53"/>
      <c r="W53" s="2"/>
    </row>
    <row r="54" spans="1:23" x14ac:dyDescent="0.25">
      <c r="A54" t="s">
        <v>9</v>
      </c>
      <c r="B54" t="s">
        <v>183</v>
      </c>
      <c r="C54" t="s">
        <v>11</v>
      </c>
      <c r="D54">
        <v>4</v>
      </c>
      <c r="E54">
        <v>7.5</v>
      </c>
      <c r="F54" t="s">
        <v>71</v>
      </c>
      <c r="G54" s="18">
        <v>230</v>
      </c>
      <c r="H54" s="19">
        <v>44575</v>
      </c>
      <c r="I54" s="18">
        <v>295</v>
      </c>
      <c r="J54" s="1">
        <v>44697</v>
      </c>
      <c r="K54" t="s">
        <v>148</v>
      </c>
      <c r="M54">
        <f t="shared" si="3"/>
        <v>122</v>
      </c>
      <c r="N54" t="s">
        <v>22</v>
      </c>
      <c r="O54" s="2">
        <f t="shared" si="1"/>
        <v>65</v>
      </c>
      <c r="P54" s="2">
        <f t="shared" si="2"/>
        <v>65</v>
      </c>
      <c r="Q54" s="4">
        <f>IFERROR(input_table[[#This Row],[est. profit]]/input_table[[#This Row],[Purchased]],)</f>
        <v>0.28260869565217389</v>
      </c>
      <c r="R54"/>
      <c r="W54" s="2"/>
    </row>
    <row r="55" spans="1:23" x14ac:dyDescent="0.25">
      <c r="A55" t="s">
        <v>33</v>
      </c>
      <c r="B55" t="s">
        <v>127</v>
      </c>
      <c r="C55" t="s">
        <v>127</v>
      </c>
      <c r="D55" t="s">
        <v>128</v>
      </c>
      <c r="E55" t="s">
        <v>31</v>
      </c>
      <c r="F55" t="s">
        <v>129</v>
      </c>
      <c r="G55" s="18">
        <v>5</v>
      </c>
      <c r="H55" s="19">
        <v>44653</v>
      </c>
      <c r="I55" s="18">
        <v>105</v>
      </c>
      <c r="J55" s="1">
        <v>44705</v>
      </c>
      <c r="K55" t="s">
        <v>148</v>
      </c>
      <c r="M55">
        <f t="shared" si="3"/>
        <v>52</v>
      </c>
      <c r="N55" t="s">
        <v>22</v>
      </c>
      <c r="O55" s="2">
        <f t="shared" si="1"/>
        <v>100</v>
      </c>
      <c r="P55" s="2">
        <f t="shared" si="2"/>
        <v>100</v>
      </c>
      <c r="Q55" s="4">
        <f>IFERROR(input_table[[#This Row],[est. profit]]/input_table[[#This Row],[Purchased]],)</f>
        <v>20</v>
      </c>
      <c r="R55"/>
      <c r="W55" s="2"/>
    </row>
    <row r="56" spans="1:23" x14ac:dyDescent="0.25">
      <c r="A56" t="s">
        <v>113</v>
      </c>
      <c r="B56" t="s">
        <v>23</v>
      </c>
      <c r="C56" t="s">
        <v>10</v>
      </c>
      <c r="D56" t="s">
        <v>142</v>
      </c>
      <c r="E56">
        <v>9</v>
      </c>
      <c r="F56" t="s">
        <v>143</v>
      </c>
      <c r="G56" s="18">
        <v>100</v>
      </c>
      <c r="H56" s="19">
        <v>44675</v>
      </c>
      <c r="I56" s="18">
        <v>695.52</v>
      </c>
      <c r="J56" s="1">
        <v>44707</v>
      </c>
      <c r="K56" t="s">
        <v>148</v>
      </c>
      <c r="M56">
        <f t="shared" si="3"/>
        <v>32</v>
      </c>
      <c r="N56" t="s">
        <v>23</v>
      </c>
      <c r="O56" s="2">
        <f t="shared" si="1"/>
        <v>595.52</v>
      </c>
      <c r="P56" s="2">
        <f t="shared" si="2"/>
        <v>595.52</v>
      </c>
      <c r="Q56" s="4">
        <f>IFERROR(input_table[[#This Row],[est. profit]]/input_table[[#This Row],[Purchased]],)</f>
        <v>5.9551999999999996</v>
      </c>
      <c r="R56"/>
      <c r="W56" s="2"/>
    </row>
    <row r="57" spans="1:23" x14ac:dyDescent="0.25">
      <c r="A57" t="s">
        <v>33</v>
      </c>
      <c r="B57" t="s">
        <v>22</v>
      </c>
      <c r="C57" t="s">
        <v>159</v>
      </c>
      <c r="D57" t="s">
        <v>160</v>
      </c>
      <c r="E57" t="s">
        <v>34</v>
      </c>
      <c r="F57" t="s">
        <v>161</v>
      </c>
      <c r="G57" s="18">
        <v>94.45</v>
      </c>
      <c r="H57" s="19">
        <v>44711</v>
      </c>
      <c r="I57" s="18">
        <v>140</v>
      </c>
      <c r="J57" s="1">
        <v>44710</v>
      </c>
      <c r="K57" t="s">
        <v>148</v>
      </c>
      <c r="M57">
        <f t="shared" si="3"/>
        <v>-1</v>
      </c>
      <c r="N57" t="s">
        <v>32</v>
      </c>
      <c r="O57" s="2">
        <f t="shared" si="1"/>
        <v>45.55</v>
      </c>
      <c r="P57" s="2">
        <f t="shared" si="2"/>
        <v>45.55</v>
      </c>
      <c r="Q57" s="4">
        <f>IFERROR(input_table[[#This Row],[est. profit]]/input_table[[#This Row],[Purchased]],)</f>
        <v>0.48226574907358388</v>
      </c>
      <c r="R57"/>
      <c r="W57" s="2"/>
    </row>
    <row r="58" spans="1:23" x14ac:dyDescent="0.25">
      <c r="A58" t="s">
        <v>33</v>
      </c>
      <c r="B58" t="s">
        <v>127</v>
      </c>
      <c r="C58" t="s">
        <v>127</v>
      </c>
      <c r="D58" t="s">
        <v>135</v>
      </c>
      <c r="E58" t="s">
        <v>49</v>
      </c>
      <c r="F58" t="s">
        <v>133</v>
      </c>
      <c r="G58" s="18">
        <v>45</v>
      </c>
      <c r="H58" s="19">
        <v>44653</v>
      </c>
      <c r="I58" s="18">
        <v>52</v>
      </c>
      <c r="J58" s="1">
        <v>44710</v>
      </c>
      <c r="K58" t="s">
        <v>148</v>
      </c>
      <c r="M58">
        <f t="shared" si="3"/>
        <v>57</v>
      </c>
      <c r="N58" t="s">
        <v>22</v>
      </c>
      <c r="O58" s="2">
        <f t="shared" si="1"/>
        <v>7</v>
      </c>
      <c r="P58" s="2">
        <f t="shared" si="2"/>
        <v>7</v>
      </c>
      <c r="Q58" s="4">
        <f>IFERROR(input_table[[#This Row],[est. profit]]/input_table[[#This Row],[Purchased]],)</f>
        <v>0.15555555555555556</v>
      </c>
      <c r="R58"/>
      <c r="W58" s="2"/>
    </row>
    <row r="59" spans="1:23" x14ac:dyDescent="0.25">
      <c r="A59" t="s">
        <v>9</v>
      </c>
      <c r="B59" t="s">
        <v>10</v>
      </c>
      <c r="C59" t="s">
        <v>10</v>
      </c>
      <c r="D59" t="s">
        <v>12</v>
      </c>
      <c r="E59">
        <v>7.5</v>
      </c>
      <c r="F59" t="s">
        <v>141</v>
      </c>
      <c r="G59" s="18">
        <v>89.95</v>
      </c>
      <c r="H59" s="19">
        <v>44679</v>
      </c>
      <c r="I59" s="18">
        <v>105</v>
      </c>
      <c r="J59" s="1">
        <v>44712</v>
      </c>
      <c r="K59" t="s">
        <v>148</v>
      </c>
      <c r="M59">
        <f t="shared" si="3"/>
        <v>33</v>
      </c>
      <c r="N59" t="s">
        <v>151</v>
      </c>
      <c r="O59" s="2">
        <f t="shared" si="1"/>
        <v>15.049999999999997</v>
      </c>
      <c r="P59" s="2">
        <f t="shared" si="2"/>
        <v>15.049999999999997</v>
      </c>
      <c r="Q59" s="4">
        <f>IFERROR(input_table[[#This Row],[est. profit]]/input_table[[#This Row],[Purchased]],)</f>
        <v>0.16731517509727623</v>
      </c>
      <c r="R59"/>
      <c r="W59" s="2"/>
    </row>
    <row r="60" spans="1:23" x14ac:dyDescent="0.25">
      <c r="A60" t="s">
        <v>33</v>
      </c>
      <c r="B60" t="s">
        <v>75</v>
      </c>
      <c r="C60" t="s">
        <v>75</v>
      </c>
      <c r="D60" t="s">
        <v>118</v>
      </c>
      <c r="E60" t="s">
        <v>49</v>
      </c>
      <c r="F60" t="s">
        <v>117</v>
      </c>
      <c r="G60" s="18">
        <v>34.5</v>
      </c>
      <c r="H60" s="19">
        <v>44647</v>
      </c>
      <c r="I60" s="18">
        <v>60</v>
      </c>
      <c r="J60" s="1">
        <v>44717</v>
      </c>
      <c r="K60" t="s">
        <v>164</v>
      </c>
      <c r="M60">
        <f t="shared" si="3"/>
        <v>70</v>
      </c>
      <c r="N60" t="s">
        <v>22</v>
      </c>
      <c r="O60" s="2">
        <f t="shared" si="1"/>
        <v>25.5</v>
      </c>
      <c r="P60" s="2">
        <f t="shared" si="2"/>
        <v>25.5</v>
      </c>
      <c r="Q60" s="4">
        <f>IFERROR(input_table[[#This Row],[est. profit]]/input_table[[#This Row],[Purchased]],)</f>
        <v>0.73913043478260865</v>
      </c>
      <c r="R60"/>
      <c r="W60" s="2"/>
    </row>
    <row r="61" spans="1:23" x14ac:dyDescent="0.25">
      <c r="A61" s="10" t="s">
        <v>9</v>
      </c>
      <c r="B61" s="10" t="s">
        <v>183</v>
      </c>
      <c r="C61" s="10" t="s">
        <v>11</v>
      </c>
      <c r="D61" t="s">
        <v>29</v>
      </c>
      <c r="E61">
        <v>9</v>
      </c>
      <c r="F61" s="10" t="s">
        <v>60</v>
      </c>
      <c r="G61" s="18">
        <v>200</v>
      </c>
      <c r="H61" s="19">
        <v>44551</v>
      </c>
      <c r="I61" s="18">
        <v>200</v>
      </c>
      <c r="J61" s="17">
        <v>44721</v>
      </c>
      <c r="K61" s="1" t="s">
        <v>164</v>
      </c>
      <c r="M61">
        <f t="shared" si="3"/>
        <v>170</v>
      </c>
      <c r="N61" t="s">
        <v>22</v>
      </c>
      <c r="O61" s="2">
        <f t="shared" si="1"/>
        <v>0</v>
      </c>
      <c r="P61" s="2">
        <f t="shared" si="2"/>
        <v>0</v>
      </c>
      <c r="Q61" s="4">
        <f>IFERROR(input_table[[#This Row],[est. profit]]/input_table[[#This Row],[Purchased]],)</f>
        <v>0</v>
      </c>
      <c r="R61"/>
      <c r="W61" s="2"/>
    </row>
    <row r="62" spans="1:23" x14ac:dyDescent="0.25">
      <c r="A62" t="s">
        <v>9</v>
      </c>
      <c r="B62" t="s">
        <v>10</v>
      </c>
      <c r="C62" t="s">
        <v>11</v>
      </c>
      <c r="D62" t="s">
        <v>20</v>
      </c>
      <c r="E62">
        <v>10.5</v>
      </c>
      <c r="F62" t="s">
        <v>137</v>
      </c>
      <c r="G62" s="18">
        <v>99.95</v>
      </c>
      <c r="H62" s="19">
        <v>44658</v>
      </c>
      <c r="I62" s="18">
        <v>103.51</v>
      </c>
      <c r="J62" s="1">
        <v>44724</v>
      </c>
      <c r="K62" t="s">
        <v>164</v>
      </c>
      <c r="M62">
        <f t="shared" si="3"/>
        <v>66</v>
      </c>
      <c r="N62" t="s">
        <v>140</v>
      </c>
      <c r="O62" s="2">
        <f t="shared" si="1"/>
        <v>3.5600000000000023</v>
      </c>
      <c r="P62" s="2">
        <f t="shared" si="2"/>
        <v>3.5600000000000023</v>
      </c>
      <c r="Q62" s="4">
        <f>IFERROR(input_table[[#This Row],[est. profit]]/input_table[[#This Row],[Purchased]],)</f>
        <v>3.561780890445225E-2</v>
      </c>
      <c r="R62"/>
      <c r="W62" s="2"/>
    </row>
    <row r="63" spans="1:23" x14ac:dyDescent="0.25">
      <c r="A63" t="s">
        <v>33</v>
      </c>
      <c r="B63" t="s">
        <v>75</v>
      </c>
      <c r="C63" t="s">
        <v>75</v>
      </c>
      <c r="D63" t="s">
        <v>155</v>
      </c>
      <c r="E63" t="s">
        <v>34</v>
      </c>
      <c r="F63" t="s">
        <v>156</v>
      </c>
      <c r="G63" s="18">
        <v>30</v>
      </c>
      <c r="H63" s="19">
        <v>44708</v>
      </c>
      <c r="I63" s="18">
        <v>70</v>
      </c>
      <c r="J63" s="1">
        <v>44729</v>
      </c>
      <c r="K63" t="s">
        <v>164</v>
      </c>
      <c r="M63">
        <f t="shared" si="3"/>
        <v>21</v>
      </c>
      <c r="N63" t="s">
        <v>23</v>
      </c>
      <c r="O63" s="2">
        <f t="shared" si="1"/>
        <v>40</v>
      </c>
      <c r="P63" s="2">
        <f t="shared" si="2"/>
        <v>40</v>
      </c>
      <c r="Q63" s="4">
        <f>IFERROR(input_table[[#This Row],[est. profit]]/input_table[[#This Row],[Purchased]],)</f>
        <v>1.3333333333333333</v>
      </c>
      <c r="R63"/>
      <c r="W63" s="2"/>
    </row>
    <row r="64" spans="1:23" x14ac:dyDescent="0.25">
      <c r="A64" t="s">
        <v>33</v>
      </c>
      <c r="B64" t="s">
        <v>127</v>
      </c>
      <c r="C64" t="s">
        <v>127</v>
      </c>
      <c r="D64" t="s">
        <v>132</v>
      </c>
      <c r="E64" t="s">
        <v>34</v>
      </c>
      <c r="F64" t="s">
        <v>134</v>
      </c>
      <c r="G64" s="18">
        <v>35</v>
      </c>
      <c r="H64" s="19">
        <v>44653</v>
      </c>
      <c r="I64" s="18">
        <v>65</v>
      </c>
      <c r="J64" s="1">
        <v>44734</v>
      </c>
      <c r="K64" t="s">
        <v>164</v>
      </c>
      <c r="M64">
        <f t="shared" si="3"/>
        <v>81</v>
      </c>
      <c r="N64" t="s">
        <v>22</v>
      </c>
      <c r="O64" s="2">
        <f t="shared" si="1"/>
        <v>30</v>
      </c>
      <c r="P64" s="2">
        <f t="shared" si="2"/>
        <v>30</v>
      </c>
      <c r="Q64" s="4">
        <f>IFERROR(input_table[[#This Row],[est. profit]]/input_table[[#This Row],[Purchased]],)</f>
        <v>0.8571428571428571</v>
      </c>
      <c r="R64"/>
      <c r="W64" s="2"/>
    </row>
    <row r="65" spans="1:23" x14ac:dyDescent="0.25">
      <c r="A65" s="10" t="s">
        <v>33</v>
      </c>
      <c r="B65" s="10" t="s">
        <v>75</v>
      </c>
      <c r="C65" s="10" t="s">
        <v>75</v>
      </c>
      <c r="D65" t="s">
        <v>154</v>
      </c>
      <c r="E65" t="s">
        <v>49</v>
      </c>
      <c r="F65" s="10" t="s">
        <v>78</v>
      </c>
      <c r="G65" s="18">
        <v>75</v>
      </c>
      <c r="H65" s="19">
        <v>44708</v>
      </c>
      <c r="I65" s="18">
        <v>92.25</v>
      </c>
      <c r="J65" s="17">
        <v>44736</v>
      </c>
      <c r="K65" s="1" t="s">
        <v>164</v>
      </c>
      <c r="M65">
        <f t="shared" si="3"/>
        <v>28</v>
      </c>
      <c r="N65" t="s">
        <v>23</v>
      </c>
      <c r="O65" s="2">
        <f t="shared" si="1"/>
        <v>17.25</v>
      </c>
      <c r="P65" s="2">
        <f t="shared" si="2"/>
        <v>17.25</v>
      </c>
      <c r="Q65" s="4">
        <f>IFERROR(input_table[[#This Row],[est. profit]]/input_table[[#This Row],[Purchased]],)</f>
        <v>0.23</v>
      </c>
      <c r="R65"/>
      <c r="W65" s="2"/>
    </row>
    <row r="66" spans="1:23" x14ac:dyDescent="0.25">
      <c r="A66" t="s">
        <v>9</v>
      </c>
      <c r="B66" t="s">
        <v>10</v>
      </c>
      <c r="C66" t="s">
        <v>11</v>
      </c>
      <c r="D66" t="s">
        <v>20</v>
      </c>
      <c r="E66">
        <v>7</v>
      </c>
      <c r="F66" t="s">
        <v>137</v>
      </c>
      <c r="G66" s="18">
        <v>100</v>
      </c>
      <c r="H66" s="19">
        <v>44565</v>
      </c>
      <c r="I66" s="18">
        <v>100</v>
      </c>
      <c r="J66" s="1">
        <v>44739</v>
      </c>
      <c r="K66" t="s">
        <v>164</v>
      </c>
      <c r="M66">
        <f t="shared" ref="M66:M101" si="4">IF(J66&lt;&gt;"",J66-H66,"")</f>
        <v>174</v>
      </c>
      <c r="N66" t="s">
        <v>140</v>
      </c>
      <c r="O66" s="2">
        <f t="shared" ref="O66:O127" si="5">(L66+I66)-G66</f>
        <v>0</v>
      </c>
      <c r="P66" s="2">
        <f t="shared" ref="P66:P127" si="6">IF(I66&lt;&gt;"",I66-G66,"")</f>
        <v>0</v>
      </c>
      <c r="Q66" s="4">
        <f>IFERROR(input_table[[#This Row],[est. profit]]/input_table[[#This Row],[Purchased]],)</f>
        <v>0</v>
      </c>
      <c r="R66"/>
      <c r="W66" s="2"/>
    </row>
    <row r="67" spans="1:23" x14ac:dyDescent="0.25">
      <c r="A67" t="s">
        <v>9</v>
      </c>
      <c r="B67" t="s">
        <v>47</v>
      </c>
      <c r="C67" t="s">
        <v>96</v>
      </c>
      <c r="D67">
        <v>700</v>
      </c>
      <c r="E67">
        <v>7</v>
      </c>
      <c r="F67" t="s">
        <v>163</v>
      </c>
      <c r="G67" s="18">
        <v>170</v>
      </c>
      <c r="H67" s="19">
        <v>44736</v>
      </c>
      <c r="I67" s="18">
        <v>175.76</v>
      </c>
      <c r="J67" s="1">
        <v>44740</v>
      </c>
      <c r="K67" t="s">
        <v>164</v>
      </c>
      <c r="M67">
        <f t="shared" si="4"/>
        <v>4</v>
      </c>
      <c r="N67" t="s">
        <v>140</v>
      </c>
      <c r="O67" s="2">
        <f t="shared" si="5"/>
        <v>5.7599999999999909</v>
      </c>
      <c r="P67" s="2">
        <f t="shared" si="6"/>
        <v>5.7599999999999909</v>
      </c>
      <c r="Q67" s="4">
        <f>IFERROR(input_table[[#This Row],[est. profit]]/input_table[[#This Row],[Purchased]],)</f>
        <v>3.3882352941176419E-2</v>
      </c>
      <c r="R67"/>
      <c r="W67" s="2"/>
    </row>
    <row r="68" spans="1:23" x14ac:dyDescent="0.25">
      <c r="A68" t="s">
        <v>9</v>
      </c>
      <c r="B68" t="s">
        <v>22</v>
      </c>
      <c r="C68" t="s">
        <v>11</v>
      </c>
      <c r="D68" t="s">
        <v>20</v>
      </c>
      <c r="E68">
        <v>8.5</v>
      </c>
      <c r="F68" t="s">
        <v>152</v>
      </c>
      <c r="G68" s="18">
        <v>91</v>
      </c>
      <c r="H68" s="19">
        <v>44707</v>
      </c>
      <c r="I68" s="18">
        <v>130</v>
      </c>
      <c r="J68" s="1">
        <v>44743</v>
      </c>
      <c r="K68" t="s">
        <v>165</v>
      </c>
      <c r="M68">
        <f t="shared" si="4"/>
        <v>36</v>
      </c>
      <c r="N68" t="s">
        <v>151</v>
      </c>
      <c r="O68" s="2">
        <f t="shared" si="5"/>
        <v>39</v>
      </c>
      <c r="P68" s="2">
        <f t="shared" si="6"/>
        <v>39</v>
      </c>
      <c r="Q68" s="4">
        <f>IFERROR(input_table[[#This Row],[est. profit]]/input_table[[#This Row],[Purchased]],)</f>
        <v>0.42857142857142855</v>
      </c>
      <c r="R68"/>
      <c r="W68" s="2"/>
    </row>
    <row r="69" spans="1:23" x14ac:dyDescent="0.25">
      <c r="A69" t="s">
        <v>33</v>
      </c>
      <c r="B69" t="s">
        <v>75</v>
      </c>
      <c r="C69" t="s">
        <v>75</v>
      </c>
      <c r="D69" t="s">
        <v>119</v>
      </c>
      <c r="E69" t="s">
        <v>49</v>
      </c>
      <c r="F69" t="s">
        <v>120</v>
      </c>
      <c r="G69" s="18">
        <v>127.5</v>
      </c>
      <c r="H69" s="19">
        <v>44647</v>
      </c>
      <c r="I69" s="18">
        <v>143.5</v>
      </c>
      <c r="J69" s="1">
        <v>44744</v>
      </c>
      <c r="K69" t="s">
        <v>165</v>
      </c>
      <c r="M69">
        <f t="shared" si="4"/>
        <v>97</v>
      </c>
      <c r="N69" t="s">
        <v>23</v>
      </c>
      <c r="O69" s="2">
        <f t="shared" si="5"/>
        <v>16</v>
      </c>
      <c r="P69" s="2">
        <f t="shared" si="6"/>
        <v>16</v>
      </c>
      <c r="Q69" s="4">
        <f>IFERROR(input_table[[#This Row],[est. profit]]/input_table[[#This Row],[Purchased]],)</f>
        <v>0.12549019607843137</v>
      </c>
      <c r="R69"/>
      <c r="W69" s="2"/>
    </row>
    <row r="70" spans="1:23" x14ac:dyDescent="0.25">
      <c r="A70" t="s">
        <v>9</v>
      </c>
      <c r="B70" t="s">
        <v>22</v>
      </c>
      <c r="C70" t="s">
        <v>11</v>
      </c>
      <c r="D70">
        <v>4</v>
      </c>
      <c r="E70">
        <v>8</v>
      </c>
      <c r="F70" t="s">
        <v>90</v>
      </c>
      <c r="G70" s="18">
        <v>316</v>
      </c>
      <c r="H70" s="19">
        <v>44710</v>
      </c>
      <c r="I70" s="18">
        <v>450</v>
      </c>
      <c r="J70" s="1">
        <v>44745</v>
      </c>
      <c r="K70" t="s">
        <v>165</v>
      </c>
      <c r="M70">
        <f t="shared" si="4"/>
        <v>35</v>
      </c>
      <c r="N70" t="s">
        <v>32</v>
      </c>
      <c r="O70" s="2">
        <f t="shared" si="5"/>
        <v>134</v>
      </c>
      <c r="P70" s="2">
        <f t="shared" si="6"/>
        <v>134</v>
      </c>
      <c r="Q70" s="4">
        <f>IFERROR(input_table[[#This Row],[est. profit]]/input_table[[#This Row],[Purchased]],)</f>
        <v>0.42405063291139239</v>
      </c>
      <c r="R70"/>
      <c r="W70" s="2"/>
    </row>
    <row r="71" spans="1:23" x14ac:dyDescent="0.25">
      <c r="A71" t="s">
        <v>9</v>
      </c>
      <c r="B71" t="s">
        <v>22</v>
      </c>
      <c r="C71" t="s">
        <v>11</v>
      </c>
      <c r="D71" t="s">
        <v>69</v>
      </c>
      <c r="E71">
        <v>10</v>
      </c>
      <c r="F71" t="s">
        <v>158</v>
      </c>
      <c r="G71" s="18">
        <v>145.5</v>
      </c>
      <c r="H71" s="19">
        <v>44711</v>
      </c>
      <c r="I71" s="18">
        <v>180</v>
      </c>
      <c r="J71" s="1">
        <v>44745</v>
      </c>
      <c r="K71" t="s">
        <v>165</v>
      </c>
      <c r="M71">
        <f t="shared" si="4"/>
        <v>34</v>
      </c>
      <c r="N71" t="s">
        <v>32</v>
      </c>
      <c r="O71" s="2">
        <f t="shared" si="5"/>
        <v>34.5</v>
      </c>
      <c r="P71" s="2">
        <f t="shared" si="6"/>
        <v>34.5</v>
      </c>
      <c r="Q71" s="4">
        <f>IFERROR(input_table[[#This Row],[est. profit]]/input_table[[#This Row],[Purchased]],)</f>
        <v>0.23711340206185566</v>
      </c>
      <c r="R71"/>
      <c r="W71" s="2"/>
    </row>
    <row r="72" spans="1:23" x14ac:dyDescent="0.25">
      <c r="A72" t="s">
        <v>9</v>
      </c>
      <c r="B72" t="s">
        <v>10</v>
      </c>
      <c r="C72" t="s">
        <v>11</v>
      </c>
      <c r="D72" t="s">
        <v>20</v>
      </c>
      <c r="E72">
        <v>11</v>
      </c>
      <c r="F72" t="s">
        <v>137</v>
      </c>
      <c r="G72" s="18">
        <v>100</v>
      </c>
      <c r="H72" s="19">
        <v>44565</v>
      </c>
      <c r="I72" s="18">
        <v>100</v>
      </c>
      <c r="J72" s="1">
        <v>44745</v>
      </c>
      <c r="K72" t="s">
        <v>165</v>
      </c>
      <c r="M72">
        <f t="shared" si="4"/>
        <v>180</v>
      </c>
      <c r="N72" t="s">
        <v>140</v>
      </c>
      <c r="O72" s="2">
        <f t="shared" si="5"/>
        <v>0</v>
      </c>
      <c r="P72" s="2">
        <f t="shared" si="6"/>
        <v>0</v>
      </c>
      <c r="Q72" s="4">
        <f>IFERROR(input_table[[#This Row],[est. profit]]/input_table[[#This Row],[Purchased]],)</f>
        <v>0</v>
      </c>
      <c r="R72"/>
      <c r="W72" s="2"/>
    </row>
    <row r="73" spans="1:23" x14ac:dyDescent="0.25">
      <c r="A73" t="s">
        <v>9</v>
      </c>
      <c r="B73" t="s">
        <v>22</v>
      </c>
      <c r="C73" t="s">
        <v>11</v>
      </c>
      <c r="D73" t="s">
        <v>69</v>
      </c>
      <c r="E73">
        <v>9.5</v>
      </c>
      <c r="F73" t="s">
        <v>94</v>
      </c>
      <c r="G73" s="18">
        <v>100</v>
      </c>
      <c r="H73" s="19">
        <v>44607</v>
      </c>
      <c r="I73" s="18">
        <v>145</v>
      </c>
      <c r="J73" s="1">
        <v>44746</v>
      </c>
      <c r="K73" t="s">
        <v>165</v>
      </c>
      <c r="M73">
        <f t="shared" si="4"/>
        <v>139</v>
      </c>
      <c r="N73" t="s">
        <v>22</v>
      </c>
      <c r="O73" s="2">
        <f t="shared" si="5"/>
        <v>45</v>
      </c>
      <c r="P73" s="2">
        <f t="shared" si="6"/>
        <v>45</v>
      </c>
      <c r="Q73" s="4">
        <f>IFERROR(input_table[[#This Row],[est. profit]]/input_table[[#This Row],[Purchased]],)</f>
        <v>0.45</v>
      </c>
      <c r="R73"/>
      <c r="W73" s="2"/>
    </row>
    <row r="74" spans="1:23" x14ac:dyDescent="0.25">
      <c r="A74" t="s">
        <v>33</v>
      </c>
      <c r="B74" t="s">
        <v>75</v>
      </c>
      <c r="C74" t="s">
        <v>75</v>
      </c>
      <c r="D74" t="s">
        <v>76</v>
      </c>
      <c r="E74" t="s">
        <v>83</v>
      </c>
      <c r="F74" t="s">
        <v>91</v>
      </c>
      <c r="G74" s="18">
        <v>35</v>
      </c>
      <c r="H74" s="19">
        <v>44605</v>
      </c>
      <c r="I74" s="18">
        <v>50</v>
      </c>
      <c r="J74" s="1">
        <v>44752</v>
      </c>
      <c r="K74" t="s">
        <v>165</v>
      </c>
      <c r="M74">
        <f t="shared" si="4"/>
        <v>147</v>
      </c>
      <c r="N74" t="s">
        <v>22</v>
      </c>
      <c r="O74" s="2">
        <f t="shared" si="5"/>
        <v>15</v>
      </c>
      <c r="P74" s="2">
        <f t="shared" si="6"/>
        <v>15</v>
      </c>
      <c r="Q74" s="4">
        <f>IFERROR(input_table[[#This Row],[est. profit]]/input_table[[#This Row],[Purchased]],)</f>
        <v>0.42857142857142855</v>
      </c>
      <c r="R74"/>
      <c r="W74" s="2"/>
    </row>
    <row r="75" spans="1:23" x14ac:dyDescent="0.25">
      <c r="A75" t="s">
        <v>9</v>
      </c>
      <c r="B75" t="s">
        <v>22</v>
      </c>
      <c r="C75" t="s">
        <v>11</v>
      </c>
      <c r="D75">
        <v>4</v>
      </c>
      <c r="E75">
        <v>4</v>
      </c>
      <c r="F75" t="s">
        <v>147</v>
      </c>
      <c r="G75" s="18">
        <v>135</v>
      </c>
      <c r="H75" s="19">
        <v>44680</v>
      </c>
      <c r="I75" s="18">
        <v>150</v>
      </c>
      <c r="J75" s="1">
        <v>44756</v>
      </c>
      <c r="K75" t="s">
        <v>165</v>
      </c>
      <c r="M75">
        <f t="shared" si="4"/>
        <v>76</v>
      </c>
      <c r="N75" t="s">
        <v>140</v>
      </c>
      <c r="O75" s="2">
        <f t="shared" si="5"/>
        <v>15</v>
      </c>
      <c r="P75" s="2">
        <f t="shared" si="6"/>
        <v>15</v>
      </c>
      <c r="Q75" s="4">
        <f>IFERROR(input_table[[#This Row],[est. profit]]/input_table[[#This Row],[Purchased]],)</f>
        <v>0.1111111111111111</v>
      </c>
      <c r="R75"/>
      <c r="W75" s="2"/>
    </row>
    <row r="76" spans="1:23" x14ac:dyDescent="0.25">
      <c r="A76" t="s">
        <v>9</v>
      </c>
      <c r="B76" t="s">
        <v>22</v>
      </c>
      <c r="C76" t="s">
        <v>11</v>
      </c>
      <c r="D76">
        <v>6</v>
      </c>
      <c r="E76">
        <v>9.5</v>
      </c>
      <c r="F76" t="s">
        <v>172</v>
      </c>
      <c r="G76" s="18">
        <v>200</v>
      </c>
      <c r="H76" s="19">
        <v>44761</v>
      </c>
      <c r="I76" s="18">
        <v>250</v>
      </c>
      <c r="J76" s="1">
        <v>44761</v>
      </c>
      <c r="K76" t="s">
        <v>165</v>
      </c>
      <c r="M76">
        <f t="shared" si="4"/>
        <v>0</v>
      </c>
      <c r="N76" t="s">
        <v>32</v>
      </c>
      <c r="O76" s="2">
        <f t="shared" si="5"/>
        <v>50</v>
      </c>
      <c r="P76" s="2">
        <f t="shared" si="6"/>
        <v>50</v>
      </c>
      <c r="Q76" s="4">
        <f>IFERROR(input_table[[#This Row],[est. profit]]/input_table[[#This Row],[Purchased]],)</f>
        <v>0.25</v>
      </c>
      <c r="R76"/>
      <c r="W76" s="2"/>
    </row>
    <row r="77" spans="1:23" x14ac:dyDescent="0.25">
      <c r="A77" t="s">
        <v>9</v>
      </c>
      <c r="B77" t="s">
        <v>10</v>
      </c>
      <c r="C77" t="s">
        <v>11</v>
      </c>
      <c r="D77" t="s">
        <v>69</v>
      </c>
      <c r="E77">
        <v>6</v>
      </c>
      <c r="F77" t="s">
        <v>167</v>
      </c>
      <c r="G77" s="18">
        <v>69.95</v>
      </c>
      <c r="H77" s="19">
        <v>44758</v>
      </c>
      <c r="I77" s="18">
        <v>82.26</v>
      </c>
      <c r="J77" s="1">
        <v>44762</v>
      </c>
      <c r="K77" t="s">
        <v>165</v>
      </c>
      <c r="M77">
        <f t="shared" si="4"/>
        <v>4</v>
      </c>
      <c r="N77" t="s">
        <v>140</v>
      </c>
      <c r="O77" s="2">
        <f t="shared" si="5"/>
        <v>12.310000000000002</v>
      </c>
      <c r="P77" s="2">
        <f t="shared" si="6"/>
        <v>12.310000000000002</v>
      </c>
      <c r="Q77" s="4">
        <f>IFERROR(input_table[[#This Row],[est. profit]]/input_table[[#This Row],[Purchased]],)</f>
        <v>0.1759828448892066</v>
      </c>
      <c r="R77"/>
      <c r="W77" s="2"/>
    </row>
    <row r="78" spans="1:23" x14ac:dyDescent="0.25">
      <c r="A78" s="10" t="s">
        <v>9</v>
      </c>
      <c r="B78" s="10" t="s">
        <v>22</v>
      </c>
      <c r="C78" s="10" t="s">
        <v>11</v>
      </c>
      <c r="D78" t="s">
        <v>46</v>
      </c>
      <c r="E78">
        <v>5.5</v>
      </c>
      <c r="F78" s="10" t="s">
        <v>52</v>
      </c>
      <c r="G78" s="18">
        <v>135.30000000000001</v>
      </c>
      <c r="H78" s="19">
        <v>44504</v>
      </c>
      <c r="I78" s="18">
        <v>140</v>
      </c>
      <c r="J78" s="17">
        <v>44763</v>
      </c>
      <c r="K78" s="1" t="s">
        <v>165</v>
      </c>
      <c r="M78">
        <f t="shared" si="4"/>
        <v>259</v>
      </c>
      <c r="N78" t="s">
        <v>170</v>
      </c>
      <c r="O78" s="2">
        <f t="shared" si="5"/>
        <v>4.6999999999999886</v>
      </c>
      <c r="P78" s="2">
        <f t="shared" si="6"/>
        <v>4.6999999999999886</v>
      </c>
      <c r="Q78" s="4">
        <f>IFERROR(input_table[[#This Row],[est. profit]]/input_table[[#This Row],[Purchased]],)</f>
        <v>3.4737620103473678E-2</v>
      </c>
      <c r="R78"/>
      <c r="W78" s="2"/>
    </row>
    <row r="79" spans="1:23" x14ac:dyDescent="0.25">
      <c r="A79" t="s">
        <v>9</v>
      </c>
      <c r="B79" t="s">
        <v>22</v>
      </c>
      <c r="C79" t="s">
        <v>11</v>
      </c>
      <c r="D79">
        <v>4</v>
      </c>
      <c r="E79">
        <v>4</v>
      </c>
      <c r="F79" t="s">
        <v>147</v>
      </c>
      <c r="G79" s="18">
        <v>135</v>
      </c>
      <c r="H79" s="19">
        <v>44680</v>
      </c>
      <c r="I79" s="18">
        <v>150.26</v>
      </c>
      <c r="J79" s="1">
        <v>44765</v>
      </c>
      <c r="K79" t="s">
        <v>165</v>
      </c>
      <c r="M79">
        <f t="shared" si="4"/>
        <v>85</v>
      </c>
      <c r="N79" t="s">
        <v>140</v>
      </c>
      <c r="O79" s="2">
        <f t="shared" si="5"/>
        <v>15.259999999999991</v>
      </c>
      <c r="P79" s="2">
        <f t="shared" si="6"/>
        <v>15.259999999999991</v>
      </c>
      <c r="Q79" s="4">
        <f>IFERROR(input_table[[#This Row],[est. profit]]/input_table[[#This Row],[Purchased]],)</f>
        <v>0.11303703703703696</v>
      </c>
      <c r="R79"/>
      <c r="W79" s="2"/>
    </row>
    <row r="80" spans="1:23" x14ac:dyDescent="0.25">
      <c r="A80" t="s">
        <v>9</v>
      </c>
      <c r="B80" t="s">
        <v>184</v>
      </c>
      <c r="C80" t="s">
        <v>11</v>
      </c>
      <c r="D80" t="s">
        <v>20</v>
      </c>
      <c r="E80">
        <v>7.5</v>
      </c>
      <c r="F80" t="s">
        <v>171</v>
      </c>
      <c r="G80" s="18">
        <v>144.94999999999999</v>
      </c>
      <c r="H80" s="19">
        <v>44763</v>
      </c>
      <c r="I80" s="18">
        <v>1110</v>
      </c>
      <c r="J80" s="1">
        <v>44766</v>
      </c>
      <c r="K80" t="s">
        <v>165</v>
      </c>
      <c r="M80">
        <f t="shared" si="4"/>
        <v>3</v>
      </c>
      <c r="N80" t="s">
        <v>170</v>
      </c>
      <c r="O80" s="2">
        <f t="shared" si="5"/>
        <v>965.05</v>
      </c>
      <c r="P80" s="2">
        <f t="shared" si="6"/>
        <v>965.05</v>
      </c>
      <c r="Q80" s="4">
        <f>IFERROR(input_table[[#This Row],[est. profit]]/input_table[[#This Row],[Purchased]],)</f>
        <v>6.6578130389789587</v>
      </c>
      <c r="R80"/>
      <c r="W80" s="2"/>
    </row>
    <row r="81" spans="1:23" x14ac:dyDescent="0.25">
      <c r="A81" t="s">
        <v>33</v>
      </c>
      <c r="B81" t="s">
        <v>51</v>
      </c>
      <c r="C81" t="s">
        <v>51</v>
      </c>
      <c r="D81" t="s">
        <v>100</v>
      </c>
      <c r="E81" t="s">
        <v>107</v>
      </c>
      <c r="F81" t="s">
        <v>150</v>
      </c>
      <c r="G81" s="18">
        <v>175.45</v>
      </c>
      <c r="H81" s="19">
        <v>44691</v>
      </c>
      <c r="I81" s="18">
        <v>226</v>
      </c>
      <c r="J81" s="1">
        <v>44824</v>
      </c>
      <c r="K81" t="s">
        <v>215</v>
      </c>
      <c r="M81">
        <f t="shared" si="4"/>
        <v>133</v>
      </c>
      <c r="N81" t="s">
        <v>22</v>
      </c>
      <c r="O81" s="2">
        <f t="shared" si="5"/>
        <v>50.550000000000011</v>
      </c>
      <c r="P81" s="2">
        <f t="shared" si="6"/>
        <v>50.550000000000011</v>
      </c>
      <c r="Q81" s="4">
        <f>IFERROR(input_table[[#This Row],[est. profit]]/input_table[[#This Row],[Purchased]],)</f>
        <v>0.28811627244229132</v>
      </c>
      <c r="R81"/>
      <c r="W81" s="2"/>
    </row>
    <row r="82" spans="1:23" x14ac:dyDescent="0.25">
      <c r="A82" t="s">
        <v>9</v>
      </c>
      <c r="B82" t="s">
        <v>22</v>
      </c>
      <c r="C82" t="s">
        <v>11</v>
      </c>
      <c r="D82">
        <v>5</v>
      </c>
      <c r="E82">
        <v>9.5</v>
      </c>
      <c r="F82" t="s">
        <v>162</v>
      </c>
      <c r="G82" s="18">
        <v>198</v>
      </c>
      <c r="H82" s="19">
        <v>44718</v>
      </c>
      <c r="I82" s="18">
        <v>246.25</v>
      </c>
      <c r="J82" s="1">
        <v>44826</v>
      </c>
      <c r="K82" t="s">
        <v>215</v>
      </c>
      <c r="M82">
        <f t="shared" si="4"/>
        <v>108</v>
      </c>
      <c r="N82" t="s">
        <v>23</v>
      </c>
      <c r="O82" s="2">
        <f t="shared" si="5"/>
        <v>48.25</v>
      </c>
      <c r="P82" s="2">
        <f t="shared" si="6"/>
        <v>48.25</v>
      </c>
      <c r="Q82" s="4">
        <f>IFERROR(input_table[[#This Row],[est. profit]]/input_table[[#This Row],[Purchased]],)</f>
        <v>0.24368686868686867</v>
      </c>
      <c r="R82"/>
      <c r="W82" s="2"/>
    </row>
    <row r="83" spans="1:23" x14ac:dyDescent="0.25">
      <c r="A83" t="s">
        <v>33</v>
      </c>
      <c r="B83" t="s">
        <v>10</v>
      </c>
      <c r="C83" t="s">
        <v>10</v>
      </c>
      <c r="D83" t="s">
        <v>175</v>
      </c>
      <c r="E83" t="s">
        <v>31</v>
      </c>
      <c r="F83" t="s">
        <v>78</v>
      </c>
      <c r="G83" s="18">
        <v>114.95</v>
      </c>
      <c r="H83" s="19">
        <v>44826</v>
      </c>
      <c r="I83" s="18">
        <v>150</v>
      </c>
      <c r="J83" s="1">
        <v>44828</v>
      </c>
      <c r="K83" t="s">
        <v>215</v>
      </c>
      <c r="M83">
        <f t="shared" si="4"/>
        <v>2</v>
      </c>
      <c r="N83" t="s">
        <v>32</v>
      </c>
      <c r="O83" s="2">
        <f t="shared" si="5"/>
        <v>35.049999999999997</v>
      </c>
      <c r="P83" s="2">
        <f t="shared" si="6"/>
        <v>35.049999999999997</v>
      </c>
      <c r="Q83" s="4">
        <f>IFERROR(input_table[[#This Row],[est. profit]]/input_table[[#This Row],[Purchased]],)</f>
        <v>0.3049151805132666</v>
      </c>
      <c r="R83"/>
      <c r="W83" s="2"/>
    </row>
    <row r="84" spans="1:23" x14ac:dyDescent="0.25">
      <c r="A84" t="s">
        <v>9</v>
      </c>
      <c r="B84" t="s">
        <v>10</v>
      </c>
      <c r="C84" t="s">
        <v>11</v>
      </c>
      <c r="D84" t="s">
        <v>69</v>
      </c>
      <c r="E84">
        <v>5</v>
      </c>
      <c r="F84" t="s">
        <v>167</v>
      </c>
      <c r="G84" s="18">
        <v>56</v>
      </c>
      <c r="H84" s="19">
        <v>44766</v>
      </c>
      <c r="I84" s="18">
        <v>112</v>
      </c>
      <c r="J84" s="1">
        <v>44830</v>
      </c>
      <c r="K84" t="s">
        <v>215</v>
      </c>
      <c r="M84">
        <f t="shared" si="4"/>
        <v>64</v>
      </c>
      <c r="N84" t="s">
        <v>140</v>
      </c>
      <c r="O84" s="2">
        <f t="shared" si="5"/>
        <v>56</v>
      </c>
      <c r="P84" s="2">
        <f t="shared" si="6"/>
        <v>56</v>
      </c>
      <c r="Q84" s="4">
        <f>IFERROR(input_table[[#This Row],[est. profit]]/input_table[[#This Row],[Purchased]],)</f>
        <v>1</v>
      </c>
      <c r="R84"/>
      <c r="W84" s="2"/>
    </row>
    <row r="85" spans="1:23" x14ac:dyDescent="0.25">
      <c r="A85" t="s">
        <v>9</v>
      </c>
      <c r="B85" t="s">
        <v>47</v>
      </c>
      <c r="C85" t="s">
        <v>96</v>
      </c>
      <c r="D85" t="s">
        <v>173</v>
      </c>
      <c r="E85">
        <v>14</v>
      </c>
      <c r="F85" t="s">
        <v>176</v>
      </c>
      <c r="G85" s="18">
        <v>60</v>
      </c>
      <c r="H85" s="19">
        <v>44828</v>
      </c>
      <c r="I85" s="18">
        <v>95</v>
      </c>
      <c r="J85" s="1">
        <v>44830</v>
      </c>
      <c r="K85" t="s">
        <v>215</v>
      </c>
      <c r="M85">
        <f t="shared" si="4"/>
        <v>2</v>
      </c>
      <c r="N85" t="s">
        <v>24</v>
      </c>
      <c r="O85" s="2">
        <f t="shared" si="5"/>
        <v>35</v>
      </c>
      <c r="P85" s="2">
        <f t="shared" si="6"/>
        <v>35</v>
      </c>
      <c r="Q85" s="4">
        <f>IFERROR(input_table[[#This Row],[est. profit]]/input_table[[#This Row],[Purchased]],)</f>
        <v>0.58333333333333337</v>
      </c>
      <c r="R85"/>
      <c r="W85" s="2"/>
    </row>
    <row r="86" spans="1:23" x14ac:dyDescent="0.25">
      <c r="A86" t="s">
        <v>9</v>
      </c>
      <c r="B86" t="s">
        <v>10</v>
      </c>
      <c r="C86" t="s">
        <v>11</v>
      </c>
      <c r="D86" t="s">
        <v>69</v>
      </c>
      <c r="E86">
        <v>6</v>
      </c>
      <c r="F86" t="s">
        <v>167</v>
      </c>
      <c r="G86" s="18">
        <v>56</v>
      </c>
      <c r="H86" s="19">
        <v>44766</v>
      </c>
      <c r="I86" s="18">
        <v>103.51</v>
      </c>
      <c r="J86" s="1">
        <v>44832</v>
      </c>
      <c r="K86" t="s">
        <v>215</v>
      </c>
      <c r="M86">
        <f t="shared" si="4"/>
        <v>66</v>
      </c>
      <c r="N86" t="s">
        <v>140</v>
      </c>
      <c r="O86" s="2">
        <f t="shared" si="5"/>
        <v>47.510000000000005</v>
      </c>
      <c r="P86" s="2">
        <f t="shared" si="6"/>
        <v>47.510000000000005</v>
      </c>
      <c r="Q86" s="4">
        <f>IFERROR(input_table[[#This Row],[est. profit]]/input_table[[#This Row],[Purchased]],)</f>
        <v>0.84839285714285728</v>
      </c>
      <c r="R86"/>
      <c r="W86" s="2"/>
    </row>
    <row r="87" spans="1:23" x14ac:dyDescent="0.25">
      <c r="A87" t="s">
        <v>9</v>
      </c>
      <c r="B87" t="s">
        <v>47</v>
      </c>
      <c r="C87" t="s">
        <v>96</v>
      </c>
      <c r="D87" t="s">
        <v>173</v>
      </c>
      <c r="E87" t="s">
        <v>174</v>
      </c>
      <c r="F87" t="s">
        <v>133</v>
      </c>
      <c r="G87" s="18">
        <v>35</v>
      </c>
      <c r="H87" s="19">
        <v>44767</v>
      </c>
      <c r="I87" s="18">
        <v>60</v>
      </c>
      <c r="J87" s="1">
        <v>44832</v>
      </c>
      <c r="K87" t="s">
        <v>215</v>
      </c>
      <c r="M87">
        <f t="shared" si="4"/>
        <v>65</v>
      </c>
      <c r="N87" t="s">
        <v>24</v>
      </c>
      <c r="O87" s="2">
        <f t="shared" si="5"/>
        <v>25</v>
      </c>
      <c r="P87" s="2">
        <f t="shared" si="6"/>
        <v>25</v>
      </c>
      <c r="Q87" s="4">
        <f>IFERROR(input_table[[#This Row],[est. profit]]/input_table[[#This Row],[Purchased]],)</f>
        <v>0.7142857142857143</v>
      </c>
      <c r="R87"/>
      <c r="W87" s="2"/>
    </row>
    <row r="88" spans="1:23" x14ac:dyDescent="0.25">
      <c r="A88" t="s">
        <v>33</v>
      </c>
      <c r="B88" t="s">
        <v>75</v>
      </c>
      <c r="C88" t="s">
        <v>75</v>
      </c>
      <c r="D88" t="s">
        <v>118</v>
      </c>
      <c r="E88" t="s">
        <v>49</v>
      </c>
      <c r="F88" t="s">
        <v>64</v>
      </c>
      <c r="G88" s="18">
        <v>35</v>
      </c>
      <c r="H88" s="19">
        <v>44708</v>
      </c>
      <c r="I88" s="18">
        <v>83.5</v>
      </c>
      <c r="J88" s="1">
        <v>44832</v>
      </c>
      <c r="K88" t="s">
        <v>215</v>
      </c>
      <c r="M88">
        <f t="shared" si="4"/>
        <v>124</v>
      </c>
      <c r="N88" t="s">
        <v>23</v>
      </c>
      <c r="O88" s="2">
        <f t="shared" si="5"/>
        <v>48.5</v>
      </c>
      <c r="P88" s="2">
        <f t="shared" si="6"/>
        <v>48.5</v>
      </c>
      <c r="Q88" s="4">
        <f>IFERROR(input_table[[#This Row],[est. profit]]/input_table[[#This Row],[Purchased]],)</f>
        <v>1.3857142857142857</v>
      </c>
      <c r="R88"/>
      <c r="W88" s="2"/>
    </row>
    <row r="89" spans="1:23" x14ac:dyDescent="0.25">
      <c r="A89" t="s">
        <v>33</v>
      </c>
      <c r="B89" t="s">
        <v>51</v>
      </c>
      <c r="C89" t="s">
        <v>51</v>
      </c>
      <c r="D89" t="s">
        <v>100</v>
      </c>
      <c r="E89" t="s">
        <v>49</v>
      </c>
      <c r="F89" t="s">
        <v>144</v>
      </c>
      <c r="G89" s="18">
        <v>172.73</v>
      </c>
      <c r="H89" s="19">
        <v>44680</v>
      </c>
      <c r="I89" s="18">
        <v>230</v>
      </c>
      <c r="J89" s="1">
        <v>44851</v>
      </c>
      <c r="K89" t="s">
        <v>180</v>
      </c>
      <c r="M89">
        <f t="shared" si="4"/>
        <v>171</v>
      </c>
      <c r="N89" t="s">
        <v>170</v>
      </c>
      <c r="O89" s="2">
        <f t="shared" si="5"/>
        <v>57.27000000000001</v>
      </c>
      <c r="P89" s="2">
        <f t="shared" si="6"/>
        <v>57.27000000000001</v>
      </c>
      <c r="Q89" s="4">
        <f>IFERROR(input_table[[#This Row],[est. profit]]/input_table[[#This Row],[Purchased]],)</f>
        <v>0.33155792276964058</v>
      </c>
      <c r="R89"/>
      <c r="W89" s="2"/>
    </row>
    <row r="90" spans="1:23" x14ac:dyDescent="0.25">
      <c r="A90" t="s">
        <v>9</v>
      </c>
      <c r="B90" t="s">
        <v>10</v>
      </c>
      <c r="C90" t="s">
        <v>10</v>
      </c>
      <c r="D90" t="s">
        <v>12</v>
      </c>
      <c r="E90">
        <v>6</v>
      </c>
      <c r="F90" t="s">
        <v>168</v>
      </c>
      <c r="G90" s="18">
        <v>89.95</v>
      </c>
      <c r="H90" s="19">
        <v>44758</v>
      </c>
      <c r="I90" s="18">
        <v>205.51</v>
      </c>
      <c r="J90" s="1">
        <v>44855</v>
      </c>
      <c r="K90" t="s">
        <v>180</v>
      </c>
      <c r="M90">
        <f t="shared" si="4"/>
        <v>97</v>
      </c>
      <c r="N90" t="s">
        <v>140</v>
      </c>
      <c r="O90" s="2">
        <f t="shared" si="5"/>
        <v>115.55999999999999</v>
      </c>
      <c r="P90" s="2">
        <f t="shared" si="6"/>
        <v>115.55999999999999</v>
      </c>
      <c r="Q90" s="4">
        <f>IFERROR(input_table[[#This Row],[est. profit]]/input_table[[#This Row],[Purchased]],)</f>
        <v>1.2847137298499165</v>
      </c>
      <c r="R90"/>
      <c r="W90" s="2"/>
    </row>
    <row r="91" spans="1:23" x14ac:dyDescent="0.25">
      <c r="A91" t="s">
        <v>9</v>
      </c>
      <c r="B91" t="s">
        <v>170</v>
      </c>
      <c r="C91" t="s">
        <v>11</v>
      </c>
      <c r="D91">
        <v>4</v>
      </c>
      <c r="E91">
        <v>4.5</v>
      </c>
      <c r="F91" t="s">
        <v>190</v>
      </c>
      <c r="G91" s="18">
        <v>200</v>
      </c>
      <c r="H91" s="19">
        <v>44866</v>
      </c>
      <c r="I91" s="18">
        <v>255</v>
      </c>
      <c r="J91" s="1">
        <v>44866</v>
      </c>
      <c r="K91" t="s">
        <v>191</v>
      </c>
      <c r="M91">
        <f t="shared" si="4"/>
        <v>0</v>
      </c>
      <c r="N91" t="s">
        <v>80</v>
      </c>
      <c r="O91" s="2">
        <f t="shared" si="5"/>
        <v>55</v>
      </c>
      <c r="P91" s="2">
        <f t="shared" si="6"/>
        <v>55</v>
      </c>
      <c r="Q91" s="4">
        <f>IFERROR(input_table[[#This Row],[est. profit]]/input_table[[#This Row],[Purchased]],)</f>
        <v>0.27500000000000002</v>
      </c>
      <c r="R91"/>
      <c r="W91" s="2"/>
    </row>
    <row r="92" spans="1:23" x14ac:dyDescent="0.25">
      <c r="A92" t="s">
        <v>9</v>
      </c>
      <c r="B92" t="s">
        <v>185</v>
      </c>
      <c r="C92" t="s">
        <v>11</v>
      </c>
      <c r="D92" t="s">
        <v>69</v>
      </c>
      <c r="E92">
        <v>5.5</v>
      </c>
      <c r="F92" t="s">
        <v>178</v>
      </c>
      <c r="G92" s="18">
        <v>110</v>
      </c>
      <c r="H92" s="19">
        <v>44855</v>
      </c>
      <c r="I92" s="18">
        <v>146.01</v>
      </c>
      <c r="J92" s="1">
        <v>44866</v>
      </c>
      <c r="K92" t="s">
        <v>191</v>
      </c>
      <c r="M92">
        <f t="shared" si="4"/>
        <v>11</v>
      </c>
      <c r="N92" t="s">
        <v>140</v>
      </c>
      <c r="O92" s="2">
        <f t="shared" si="5"/>
        <v>36.009999999999991</v>
      </c>
      <c r="P92" s="2">
        <f t="shared" si="6"/>
        <v>36.009999999999991</v>
      </c>
      <c r="Q92" s="4">
        <f>IFERROR(input_table[[#This Row],[est. profit]]/input_table[[#This Row],[Purchased]],)</f>
        <v>0.3273636363636363</v>
      </c>
      <c r="R92"/>
      <c r="W92" s="2"/>
    </row>
    <row r="93" spans="1:23" x14ac:dyDescent="0.25">
      <c r="A93" t="s">
        <v>33</v>
      </c>
      <c r="B93" t="s">
        <v>75</v>
      </c>
      <c r="C93" t="s">
        <v>75</v>
      </c>
      <c r="D93" t="s">
        <v>155</v>
      </c>
      <c r="E93" t="s">
        <v>34</v>
      </c>
      <c r="F93" t="s">
        <v>78</v>
      </c>
      <c r="G93" s="18">
        <v>32.5</v>
      </c>
      <c r="H93" s="19">
        <v>44865</v>
      </c>
      <c r="I93" s="18">
        <v>70</v>
      </c>
      <c r="J93" s="1">
        <v>44871</v>
      </c>
      <c r="K93" t="s">
        <v>191</v>
      </c>
      <c r="M93">
        <f t="shared" si="4"/>
        <v>6</v>
      </c>
      <c r="N93" t="s">
        <v>195</v>
      </c>
      <c r="O93" s="2">
        <f t="shared" si="5"/>
        <v>37.5</v>
      </c>
      <c r="P93" s="2">
        <f t="shared" si="6"/>
        <v>37.5</v>
      </c>
      <c r="Q93" s="4">
        <f>IFERROR(input_table[[#This Row],[est. profit]]/input_table[[#This Row],[Purchased]],)</f>
        <v>1.1538461538461537</v>
      </c>
      <c r="R93"/>
      <c r="W93" s="2"/>
    </row>
    <row r="94" spans="1:23" x14ac:dyDescent="0.25">
      <c r="A94" t="s">
        <v>9</v>
      </c>
      <c r="B94" t="s">
        <v>10</v>
      </c>
      <c r="C94" t="s">
        <v>10</v>
      </c>
      <c r="D94" t="s">
        <v>12</v>
      </c>
      <c r="E94">
        <v>11.5</v>
      </c>
      <c r="F94" t="s">
        <v>168</v>
      </c>
      <c r="G94" s="18">
        <v>89.95</v>
      </c>
      <c r="H94" s="19">
        <v>44758</v>
      </c>
      <c r="I94" s="18">
        <v>175.76</v>
      </c>
      <c r="J94" s="1">
        <v>44872</v>
      </c>
      <c r="K94" t="s">
        <v>191</v>
      </c>
      <c r="M94">
        <f t="shared" si="4"/>
        <v>114</v>
      </c>
      <c r="N94" t="s">
        <v>140</v>
      </c>
      <c r="O94" s="2">
        <f t="shared" si="5"/>
        <v>85.809999999999988</v>
      </c>
      <c r="P94" s="2">
        <f t="shared" si="6"/>
        <v>85.809999999999988</v>
      </c>
      <c r="Q94" s="4">
        <f>IFERROR(input_table[[#This Row],[est. profit]]/input_table[[#This Row],[Purchased]],)</f>
        <v>0.95397443023902151</v>
      </c>
      <c r="R94"/>
      <c r="W94" s="2"/>
    </row>
    <row r="95" spans="1:23" x14ac:dyDescent="0.25">
      <c r="A95" t="s">
        <v>9</v>
      </c>
      <c r="B95" t="s">
        <v>185</v>
      </c>
      <c r="C95" t="s">
        <v>11</v>
      </c>
      <c r="D95" t="s">
        <v>69</v>
      </c>
      <c r="E95">
        <v>5</v>
      </c>
      <c r="F95" t="s">
        <v>178</v>
      </c>
      <c r="G95" s="18">
        <v>110</v>
      </c>
      <c r="H95" s="19">
        <v>44869</v>
      </c>
      <c r="I95" s="18">
        <v>171.51</v>
      </c>
      <c r="J95" s="1">
        <v>44888</v>
      </c>
      <c r="K95" t="s">
        <v>191</v>
      </c>
      <c r="M95">
        <f t="shared" si="4"/>
        <v>19</v>
      </c>
      <c r="N95" t="s">
        <v>140</v>
      </c>
      <c r="O95" s="2">
        <f t="shared" si="5"/>
        <v>61.509999999999991</v>
      </c>
      <c r="P95" s="2">
        <f t="shared" si="6"/>
        <v>61.509999999999991</v>
      </c>
      <c r="Q95" s="4">
        <f>IFERROR(input_table[[#This Row],[est. profit]]/input_table[[#This Row],[Purchased]],)</f>
        <v>0.55918181818181811</v>
      </c>
      <c r="R95"/>
      <c r="W95" s="2"/>
    </row>
    <row r="96" spans="1:23" x14ac:dyDescent="0.25">
      <c r="A96" t="s">
        <v>9</v>
      </c>
      <c r="B96" t="s">
        <v>185</v>
      </c>
      <c r="C96" t="s">
        <v>11</v>
      </c>
      <c r="D96" t="s">
        <v>69</v>
      </c>
      <c r="E96">
        <v>12</v>
      </c>
      <c r="F96" t="s">
        <v>186</v>
      </c>
      <c r="G96" s="18">
        <v>88</v>
      </c>
      <c r="H96" s="19">
        <v>44855</v>
      </c>
      <c r="I96" s="18">
        <v>124.76</v>
      </c>
      <c r="J96" s="1">
        <v>44888</v>
      </c>
      <c r="K96" t="s">
        <v>191</v>
      </c>
      <c r="M96">
        <f t="shared" si="4"/>
        <v>33</v>
      </c>
      <c r="N96" t="s">
        <v>140</v>
      </c>
      <c r="O96" s="2">
        <f t="shared" si="5"/>
        <v>36.760000000000005</v>
      </c>
      <c r="P96" s="2">
        <f t="shared" si="6"/>
        <v>36.760000000000005</v>
      </c>
      <c r="Q96" s="4">
        <f>IFERROR(input_table[[#This Row],[est. profit]]/input_table[[#This Row],[Purchased]],)</f>
        <v>0.41772727272727278</v>
      </c>
      <c r="R96"/>
      <c r="W96" s="2"/>
    </row>
    <row r="97" spans="1:23" x14ac:dyDescent="0.25">
      <c r="A97" t="s">
        <v>33</v>
      </c>
      <c r="B97" t="s">
        <v>127</v>
      </c>
      <c r="C97" t="s">
        <v>127</v>
      </c>
      <c r="D97" t="s">
        <v>192</v>
      </c>
      <c r="E97" t="s">
        <v>34</v>
      </c>
      <c r="F97" t="s">
        <v>101</v>
      </c>
      <c r="G97" s="18">
        <v>100</v>
      </c>
      <c r="H97" s="19">
        <v>44864</v>
      </c>
      <c r="I97" s="18">
        <v>142.12</v>
      </c>
      <c r="J97" s="1">
        <v>44890</v>
      </c>
      <c r="K97" t="s">
        <v>191</v>
      </c>
      <c r="M97">
        <f t="shared" si="4"/>
        <v>26</v>
      </c>
      <c r="N97" t="s">
        <v>23</v>
      </c>
      <c r="O97" s="2">
        <f t="shared" si="5"/>
        <v>42.120000000000005</v>
      </c>
      <c r="P97" s="2">
        <f t="shared" si="6"/>
        <v>42.120000000000005</v>
      </c>
      <c r="Q97" s="4">
        <f>IFERROR(input_table[[#This Row],[est. profit]]/input_table[[#This Row],[Purchased]],)</f>
        <v>0.42120000000000002</v>
      </c>
      <c r="R97"/>
      <c r="W97" s="2"/>
    </row>
    <row r="98" spans="1:23" x14ac:dyDescent="0.25">
      <c r="A98" t="s">
        <v>33</v>
      </c>
      <c r="B98" t="s">
        <v>51</v>
      </c>
      <c r="C98" t="s">
        <v>51</v>
      </c>
      <c r="D98" t="s">
        <v>100</v>
      </c>
      <c r="E98" t="s">
        <v>49</v>
      </c>
      <c r="F98" t="s">
        <v>145</v>
      </c>
      <c r="G98" s="18">
        <v>172.73</v>
      </c>
      <c r="H98" s="19">
        <v>44680</v>
      </c>
      <c r="I98" s="18">
        <v>209.48</v>
      </c>
      <c r="J98" s="1">
        <v>44896</v>
      </c>
      <c r="K98" t="s">
        <v>202</v>
      </c>
      <c r="M98">
        <f t="shared" si="4"/>
        <v>216</v>
      </c>
      <c r="N98" t="s">
        <v>23</v>
      </c>
      <c r="O98" s="2">
        <f t="shared" si="5"/>
        <v>36.75</v>
      </c>
      <c r="P98" s="2">
        <f t="shared" si="6"/>
        <v>36.75</v>
      </c>
      <c r="Q98" s="4">
        <f>IFERROR(input_table[[#This Row],[est. profit]]/input_table[[#This Row],[Purchased]],)</f>
        <v>0.21275979852949692</v>
      </c>
      <c r="R98"/>
      <c r="W98" s="2"/>
    </row>
    <row r="99" spans="1:23" x14ac:dyDescent="0.25">
      <c r="A99" t="s">
        <v>9</v>
      </c>
      <c r="B99" t="s">
        <v>185</v>
      </c>
      <c r="C99" t="s">
        <v>11</v>
      </c>
      <c r="D99" t="s">
        <v>29</v>
      </c>
      <c r="E99">
        <v>5</v>
      </c>
      <c r="F99" t="s">
        <v>194</v>
      </c>
      <c r="G99" s="18">
        <v>122.4</v>
      </c>
      <c r="H99" s="19">
        <v>44869</v>
      </c>
      <c r="I99" s="18">
        <v>141.76</v>
      </c>
      <c r="J99" s="1">
        <v>44904</v>
      </c>
      <c r="K99" t="s">
        <v>202</v>
      </c>
      <c r="M99">
        <f t="shared" si="4"/>
        <v>35</v>
      </c>
      <c r="N99" t="s">
        <v>140</v>
      </c>
      <c r="O99" s="2">
        <f t="shared" si="5"/>
        <v>19.359999999999985</v>
      </c>
      <c r="P99" s="2">
        <f t="shared" si="6"/>
        <v>19.359999999999985</v>
      </c>
      <c r="Q99" s="4">
        <f>IFERROR(input_table[[#This Row],[est. profit]]/input_table[[#This Row],[Purchased]],)</f>
        <v>0.15816993464052276</v>
      </c>
      <c r="R99"/>
      <c r="W99" s="2"/>
    </row>
    <row r="100" spans="1:23" x14ac:dyDescent="0.25">
      <c r="A100" t="s">
        <v>9</v>
      </c>
      <c r="B100" t="s">
        <v>10</v>
      </c>
      <c r="C100" t="s">
        <v>10</v>
      </c>
      <c r="D100" t="s">
        <v>166</v>
      </c>
      <c r="E100">
        <v>11.5</v>
      </c>
      <c r="F100" t="s">
        <v>169</v>
      </c>
      <c r="G100" s="18">
        <v>114.95</v>
      </c>
      <c r="H100" s="19">
        <v>44758</v>
      </c>
      <c r="I100" s="18">
        <v>120</v>
      </c>
      <c r="J100" s="1">
        <v>44911</v>
      </c>
      <c r="K100" t="s">
        <v>202</v>
      </c>
      <c r="M100">
        <f t="shared" si="4"/>
        <v>153</v>
      </c>
      <c r="N100" t="s">
        <v>24</v>
      </c>
      <c r="O100" s="2">
        <f t="shared" si="5"/>
        <v>5.0499999999999972</v>
      </c>
      <c r="P100" s="2">
        <f t="shared" si="6"/>
        <v>5.0499999999999972</v>
      </c>
      <c r="Q100" s="4">
        <f>IFERROR(input_table[[#This Row],[est. profit]]/input_table[[#This Row],[Purchased]],)</f>
        <v>4.3932144410613286E-2</v>
      </c>
      <c r="R100"/>
      <c r="W100" s="2"/>
    </row>
    <row r="101" spans="1:23" x14ac:dyDescent="0.25">
      <c r="A101" t="s">
        <v>9</v>
      </c>
      <c r="B101" t="s">
        <v>183</v>
      </c>
      <c r="C101" t="s">
        <v>11</v>
      </c>
      <c r="D101" t="s">
        <v>29</v>
      </c>
      <c r="E101">
        <v>4.5</v>
      </c>
      <c r="F101" t="s">
        <v>60</v>
      </c>
      <c r="G101" s="18">
        <v>200</v>
      </c>
      <c r="H101" s="19">
        <v>44571</v>
      </c>
      <c r="K101"/>
      <c r="L101" s="18">
        <v>200</v>
      </c>
      <c r="M101" t="str">
        <f t="shared" si="4"/>
        <v/>
      </c>
      <c r="O101" s="2">
        <f t="shared" si="5"/>
        <v>0</v>
      </c>
      <c r="P101" s="2" t="str">
        <f t="shared" si="6"/>
        <v/>
      </c>
      <c r="Q101" s="4">
        <f>IFERROR(input_table[[#This Row],[est. profit]]/input_table[[#This Row],[Purchased]],)</f>
        <v>0</v>
      </c>
      <c r="R101"/>
      <c r="W101" s="2"/>
    </row>
    <row r="102" spans="1:23" x14ac:dyDescent="0.25">
      <c r="A102" t="s">
        <v>9</v>
      </c>
      <c r="B102" t="s">
        <v>183</v>
      </c>
      <c r="C102" t="s">
        <v>10</v>
      </c>
      <c r="D102" t="s">
        <v>12</v>
      </c>
      <c r="E102">
        <v>4.5</v>
      </c>
      <c r="F102" t="s">
        <v>179</v>
      </c>
      <c r="G102" s="18">
        <v>115</v>
      </c>
      <c r="H102" s="19">
        <v>44847</v>
      </c>
      <c r="K102"/>
      <c r="L102" s="18">
        <v>130</v>
      </c>
      <c r="O102" s="2">
        <f t="shared" si="5"/>
        <v>15</v>
      </c>
      <c r="P102" s="2" t="str">
        <f t="shared" si="6"/>
        <v/>
      </c>
      <c r="Q102" s="4">
        <f>IFERROR(input_table[[#This Row],[est. profit]]/input_table[[#This Row],[Purchased]],)</f>
        <v>0.13043478260869565</v>
      </c>
      <c r="R102"/>
      <c r="W102" s="2"/>
    </row>
    <row r="103" spans="1:23" x14ac:dyDescent="0.25">
      <c r="A103" t="s">
        <v>9</v>
      </c>
      <c r="B103" t="s">
        <v>10</v>
      </c>
      <c r="C103" t="s">
        <v>10</v>
      </c>
      <c r="D103" t="s">
        <v>166</v>
      </c>
      <c r="E103">
        <v>5.5</v>
      </c>
      <c r="F103" t="s">
        <v>169</v>
      </c>
      <c r="G103" s="18">
        <v>114.95</v>
      </c>
      <c r="H103" s="19">
        <v>44758</v>
      </c>
      <c r="K103"/>
      <c r="L103" s="18">
        <v>130</v>
      </c>
      <c r="M103" t="str">
        <f>IF(J103&lt;&gt;"",J103-H103,"")</f>
        <v/>
      </c>
      <c r="O103" s="2">
        <f t="shared" si="5"/>
        <v>15.049999999999997</v>
      </c>
      <c r="P103" s="2" t="str">
        <f t="shared" si="6"/>
        <v/>
      </c>
      <c r="Q103" s="4">
        <f>IFERROR(input_table[[#This Row],[est. profit]]/input_table[[#This Row],[Purchased]],)</f>
        <v>0.1309264897781644</v>
      </c>
      <c r="R103"/>
      <c r="W103" s="2"/>
    </row>
    <row r="104" spans="1:23" x14ac:dyDescent="0.25">
      <c r="A104" t="s">
        <v>9</v>
      </c>
      <c r="B104" t="s">
        <v>183</v>
      </c>
      <c r="C104" t="s">
        <v>11</v>
      </c>
      <c r="D104" t="s">
        <v>69</v>
      </c>
      <c r="E104">
        <v>5.5</v>
      </c>
      <c r="F104" t="s">
        <v>189</v>
      </c>
      <c r="G104" s="18">
        <v>104</v>
      </c>
      <c r="H104" s="19">
        <v>44861</v>
      </c>
      <c r="K104"/>
      <c r="L104" s="18">
        <v>150</v>
      </c>
      <c r="O104" s="2">
        <f t="shared" si="5"/>
        <v>46</v>
      </c>
      <c r="P104" s="2" t="str">
        <f t="shared" si="6"/>
        <v/>
      </c>
      <c r="Q104" s="4">
        <f>IFERROR(input_table[[#This Row],[est. profit]]/input_table[[#This Row],[Purchased]],)</f>
        <v>0.44230769230769229</v>
      </c>
      <c r="R104"/>
      <c r="W104" s="2"/>
    </row>
    <row r="105" spans="1:23" x14ac:dyDescent="0.25">
      <c r="A105" t="s">
        <v>9</v>
      </c>
      <c r="B105" t="s">
        <v>183</v>
      </c>
      <c r="C105" t="s">
        <v>10</v>
      </c>
      <c r="D105" t="s">
        <v>12</v>
      </c>
      <c r="E105">
        <v>6</v>
      </c>
      <c r="F105" t="s">
        <v>179</v>
      </c>
      <c r="G105" s="18">
        <v>115</v>
      </c>
      <c r="H105" s="19">
        <v>44847</v>
      </c>
      <c r="K105"/>
      <c r="L105" s="18">
        <v>130</v>
      </c>
      <c r="O105" s="2">
        <f t="shared" si="5"/>
        <v>15</v>
      </c>
      <c r="P105" s="2" t="str">
        <f t="shared" si="6"/>
        <v/>
      </c>
      <c r="Q105" s="4">
        <f>IFERROR(input_table[[#This Row],[est. profit]]/input_table[[#This Row],[Purchased]],)</f>
        <v>0.13043478260869565</v>
      </c>
      <c r="R105"/>
      <c r="W105" s="2"/>
    </row>
    <row r="106" spans="1:23" x14ac:dyDescent="0.25">
      <c r="A106" t="s">
        <v>9</v>
      </c>
      <c r="B106" t="s">
        <v>183</v>
      </c>
      <c r="C106" t="s">
        <v>10</v>
      </c>
      <c r="D106" t="s">
        <v>12</v>
      </c>
      <c r="E106">
        <v>6</v>
      </c>
      <c r="F106" t="s">
        <v>179</v>
      </c>
      <c r="G106" s="18">
        <v>115</v>
      </c>
      <c r="H106" s="19">
        <v>44847</v>
      </c>
      <c r="K106"/>
      <c r="L106" s="18">
        <v>130</v>
      </c>
      <c r="O106" s="2">
        <f t="shared" si="5"/>
        <v>15</v>
      </c>
      <c r="P106" s="2" t="str">
        <f t="shared" si="6"/>
        <v/>
      </c>
      <c r="Q106" s="4">
        <f>IFERROR(input_table[[#This Row],[est. profit]]/input_table[[#This Row],[Purchased]],)</f>
        <v>0.13043478260869565</v>
      </c>
      <c r="R106"/>
      <c r="W106" s="2"/>
    </row>
    <row r="107" spans="1:23" x14ac:dyDescent="0.25">
      <c r="A107" t="s">
        <v>9</v>
      </c>
      <c r="B107" t="s">
        <v>183</v>
      </c>
      <c r="C107" t="s">
        <v>11</v>
      </c>
      <c r="D107" t="s">
        <v>69</v>
      </c>
      <c r="E107">
        <v>6</v>
      </c>
      <c r="F107" t="s">
        <v>189</v>
      </c>
      <c r="G107" s="18">
        <v>104</v>
      </c>
      <c r="H107" s="19">
        <v>44861</v>
      </c>
      <c r="K107"/>
      <c r="L107" s="18">
        <v>150</v>
      </c>
      <c r="O107" s="2">
        <f t="shared" si="5"/>
        <v>46</v>
      </c>
      <c r="P107" s="2" t="str">
        <f t="shared" si="6"/>
        <v/>
      </c>
      <c r="Q107" s="4">
        <f>IFERROR(input_table[[#This Row],[est. profit]]/input_table[[#This Row],[Purchased]],)</f>
        <v>0.44230769230769229</v>
      </c>
      <c r="R107"/>
      <c r="W107" s="2"/>
    </row>
    <row r="108" spans="1:23" x14ac:dyDescent="0.25">
      <c r="A108" s="10" t="s">
        <v>9</v>
      </c>
      <c r="B108" s="10" t="s">
        <v>22</v>
      </c>
      <c r="C108" s="10" t="s">
        <v>11</v>
      </c>
      <c r="D108" t="s">
        <v>20</v>
      </c>
      <c r="E108">
        <v>7</v>
      </c>
      <c r="F108" s="10" t="s">
        <v>153</v>
      </c>
      <c r="G108" s="18">
        <v>70.45</v>
      </c>
      <c r="H108" s="19">
        <v>44708</v>
      </c>
      <c r="J108" s="17"/>
      <c r="L108" s="18">
        <v>100</v>
      </c>
      <c r="M108" t="str">
        <f>IF(J108&lt;&gt;"",J108-H108,"")</f>
        <v/>
      </c>
      <c r="O108" s="2">
        <f t="shared" si="5"/>
        <v>29.549999999999997</v>
      </c>
      <c r="P108" s="2" t="str">
        <f t="shared" si="6"/>
        <v/>
      </c>
      <c r="Q108" s="4">
        <f>IFERROR(input_table[[#This Row],[est. profit]]/input_table[[#This Row],[Purchased]],)</f>
        <v>0.4194464158977998</v>
      </c>
      <c r="R108"/>
      <c r="W108" s="2"/>
    </row>
    <row r="109" spans="1:23" x14ac:dyDescent="0.25">
      <c r="A109" t="s">
        <v>9</v>
      </c>
      <c r="B109" t="s">
        <v>22</v>
      </c>
      <c r="C109" t="s">
        <v>11</v>
      </c>
      <c r="D109" t="s">
        <v>20</v>
      </c>
      <c r="E109">
        <v>8</v>
      </c>
      <c r="F109" t="s">
        <v>178</v>
      </c>
      <c r="G109" s="18">
        <v>114.45</v>
      </c>
      <c r="H109" s="19">
        <v>44834</v>
      </c>
      <c r="K109"/>
      <c r="L109" s="18">
        <v>150</v>
      </c>
      <c r="O109" s="2">
        <f t="shared" si="5"/>
        <v>35.549999999999997</v>
      </c>
      <c r="P109" s="2" t="str">
        <f t="shared" si="6"/>
        <v/>
      </c>
      <c r="Q109" s="4">
        <f>IFERROR(input_table[[#This Row],[est. profit]]/input_table[[#This Row],[Purchased]],)</f>
        <v>0.31061598951507208</v>
      </c>
      <c r="R109"/>
      <c r="W109" s="2"/>
    </row>
    <row r="110" spans="1:23" x14ac:dyDescent="0.25">
      <c r="A110" t="s">
        <v>9</v>
      </c>
      <c r="B110" t="s">
        <v>22</v>
      </c>
      <c r="C110" t="s">
        <v>11</v>
      </c>
      <c r="D110" t="s">
        <v>69</v>
      </c>
      <c r="E110">
        <v>8</v>
      </c>
      <c r="F110" t="s">
        <v>139</v>
      </c>
      <c r="G110" s="18">
        <v>97.95</v>
      </c>
      <c r="H110" s="19">
        <v>44834</v>
      </c>
      <c r="K110"/>
      <c r="L110" s="18">
        <v>120</v>
      </c>
      <c r="O110" s="2">
        <f t="shared" si="5"/>
        <v>22.049999999999997</v>
      </c>
      <c r="P110" s="2" t="str">
        <f t="shared" si="6"/>
        <v/>
      </c>
      <c r="Q110" s="4">
        <f>IFERROR(input_table[[#This Row],[est. profit]]/input_table[[#This Row],[Purchased]],)</f>
        <v>0.22511485451761098</v>
      </c>
      <c r="R110"/>
      <c r="W110" s="2"/>
    </row>
    <row r="111" spans="1:23" x14ac:dyDescent="0.25">
      <c r="A111" t="s">
        <v>9</v>
      </c>
      <c r="B111" t="s">
        <v>183</v>
      </c>
      <c r="C111" t="s">
        <v>11</v>
      </c>
      <c r="D111">
        <v>4</v>
      </c>
      <c r="E111">
        <v>8</v>
      </c>
      <c r="F111" t="s">
        <v>177</v>
      </c>
      <c r="G111" s="18">
        <v>225</v>
      </c>
      <c r="H111" s="19">
        <v>44833</v>
      </c>
      <c r="K111"/>
      <c r="L111" s="18">
        <v>300</v>
      </c>
      <c r="O111" s="2">
        <f t="shared" si="5"/>
        <v>75</v>
      </c>
      <c r="P111" s="2" t="str">
        <f t="shared" si="6"/>
        <v/>
      </c>
      <c r="Q111" s="4">
        <f>IFERROR(input_table[[#This Row],[est. profit]]/input_table[[#This Row],[Purchased]],)</f>
        <v>0.33333333333333331</v>
      </c>
      <c r="R111"/>
      <c r="W111" s="2"/>
    </row>
    <row r="112" spans="1:23" x14ac:dyDescent="0.25">
      <c r="A112" s="10" t="s">
        <v>9</v>
      </c>
      <c r="B112" s="10" t="s">
        <v>208</v>
      </c>
      <c r="C112" s="10" t="s">
        <v>10</v>
      </c>
      <c r="D112" t="s">
        <v>209</v>
      </c>
      <c r="E112">
        <v>8.5</v>
      </c>
      <c r="F112" s="10" t="s">
        <v>78</v>
      </c>
      <c r="G112" s="18">
        <v>132.4</v>
      </c>
      <c r="H112" s="19">
        <v>44893</v>
      </c>
      <c r="J112" s="17"/>
      <c r="L112" s="18">
        <v>200</v>
      </c>
      <c r="O112" s="2">
        <f t="shared" si="5"/>
        <v>67.599999999999994</v>
      </c>
      <c r="P112" s="2" t="str">
        <f t="shared" si="6"/>
        <v/>
      </c>
      <c r="Q112" s="4">
        <f>IFERROR(input_table[[#This Row],[est. profit]]/input_table[[#This Row],[Purchased]],)</f>
        <v>0.51057401812688818</v>
      </c>
      <c r="R112"/>
      <c r="W112" s="2"/>
    </row>
    <row r="113" spans="1:23" x14ac:dyDescent="0.25">
      <c r="A113" s="10" t="s">
        <v>9</v>
      </c>
      <c r="B113" s="10" t="s">
        <v>213</v>
      </c>
      <c r="C113" s="10" t="s">
        <v>10</v>
      </c>
      <c r="D113" t="s">
        <v>12</v>
      </c>
      <c r="E113">
        <v>9</v>
      </c>
      <c r="F113" s="10" t="s">
        <v>214</v>
      </c>
      <c r="G113" s="18">
        <v>100</v>
      </c>
      <c r="H113" s="19">
        <v>44880</v>
      </c>
      <c r="J113" s="17"/>
      <c r="L113" s="18">
        <v>110</v>
      </c>
      <c r="O113" s="2">
        <f t="shared" si="5"/>
        <v>10</v>
      </c>
      <c r="P113" s="2" t="str">
        <f t="shared" si="6"/>
        <v/>
      </c>
      <c r="Q113" s="4">
        <f>IFERROR(input_table[[#This Row],[est. profit]]/input_table[[#This Row],[Purchased]],)</f>
        <v>0.1</v>
      </c>
      <c r="R113"/>
      <c r="W113" s="2"/>
    </row>
    <row r="114" spans="1:23" x14ac:dyDescent="0.25">
      <c r="A114" t="s">
        <v>9</v>
      </c>
      <c r="B114" t="s">
        <v>203</v>
      </c>
      <c r="C114" t="s">
        <v>11</v>
      </c>
      <c r="D114" t="s">
        <v>69</v>
      </c>
      <c r="E114">
        <v>9.5</v>
      </c>
      <c r="F114" t="s">
        <v>193</v>
      </c>
      <c r="G114" s="18">
        <v>92</v>
      </c>
      <c r="H114" s="19">
        <v>44888</v>
      </c>
      <c r="K114"/>
      <c r="L114" s="18">
        <v>130</v>
      </c>
      <c r="O114" s="2">
        <f t="shared" si="5"/>
        <v>38</v>
      </c>
      <c r="P114" s="2" t="str">
        <f t="shared" si="6"/>
        <v/>
      </c>
      <c r="Q114" s="4">
        <f>IFERROR(input_table[[#This Row],[est. profit]]/input_table[[#This Row],[Purchased]],)</f>
        <v>0.41304347826086957</v>
      </c>
      <c r="R114"/>
      <c r="W114" s="2"/>
    </row>
    <row r="115" spans="1:23" ht="15.75" customHeight="1" x14ac:dyDescent="0.25">
      <c r="A115" t="s">
        <v>9</v>
      </c>
      <c r="B115" t="s">
        <v>203</v>
      </c>
      <c r="C115" t="s">
        <v>11</v>
      </c>
      <c r="D115" t="s">
        <v>69</v>
      </c>
      <c r="E115">
        <v>9.5</v>
      </c>
      <c r="F115" t="s">
        <v>193</v>
      </c>
      <c r="G115" s="18">
        <v>92</v>
      </c>
      <c r="H115" s="19">
        <v>44888</v>
      </c>
      <c r="K115"/>
      <c r="L115" s="18">
        <v>130</v>
      </c>
      <c r="O115" s="2">
        <f t="shared" si="5"/>
        <v>38</v>
      </c>
      <c r="P115" s="2" t="str">
        <f t="shared" si="6"/>
        <v/>
      </c>
      <c r="Q115" s="4">
        <f>IFERROR(input_table[[#This Row],[est. profit]]/input_table[[#This Row],[Purchased]],)</f>
        <v>0.41304347826086957</v>
      </c>
      <c r="R115"/>
      <c r="W115" s="2"/>
    </row>
    <row r="116" spans="1:23" x14ac:dyDescent="0.25">
      <c r="A116" t="s">
        <v>33</v>
      </c>
      <c r="B116" t="s">
        <v>75</v>
      </c>
      <c r="C116" t="s">
        <v>75</v>
      </c>
      <c r="D116" t="s">
        <v>76</v>
      </c>
      <c r="E116" t="s">
        <v>83</v>
      </c>
      <c r="F116" t="s">
        <v>101</v>
      </c>
      <c r="G116" s="18">
        <v>32.5</v>
      </c>
      <c r="H116" s="19">
        <v>44865</v>
      </c>
      <c r="K116"/>
      <c r="L116" s="18">
        <v>60</v>
      </c>
      <c r="O116" s="2">
        <f t="shared" si="5"/>
        <v>27.5</v>
      </c>
      <c r="P116" s="2" t="str">
        <f t="shared" si="6"/>
        <v/>
      </c>
      <c r="Q116" s="4">
        <f>IFERROR(input_table[[#This Row],[est. profit]]/input_table[[#This Row],[Purchased]],)</f>
        <v>0.84615384615384615</v>
      </c>
      <c r="R116"/>
      <c r="W116" s="2"/>
    </row>
    <row r="117" spans="1:23" x14ac:dyDescent="0.25">
      <c r="A117" t="s">
        <v>33</v>
      </c>
      <c r="B117" t="s">
        <v>199</v>
      </c>
      <c r="C117" t="s">
        <v>199</v>
      </c>
      <c r="D117" t="s">
        <v>200</v>
      </c>
      <c r="E117" t="s">
        <v>83</v>
      </c>
      <c r="F117" t="s">
        <v>201</v>
      </c>
      <c r="G117" s="18">
        <v>40</v>
      </c>
      <c r="H117" s="19">
        <v>44873</v>
      </c>
      <c r="K117"/>
      <c r="L117" s="18">
        <v>50</v>
      </c>
      <c r="O117" s="2">
        <f t="shared" si="5"/>
        <v>10</v>
      </c>
      <c r="P117" s="2" t="str">
        <f t="shared" si="6"/>
        <v/>
      </c>
      <c r="Q117" s="4">
        <f>IFERROR(input_table[[#This Row],[est. profit]]/input_table[[#This Row],[Purchased]],)</f>
        <v>0.25</v>
      </c>
      <c r="R117"/>
      <c r="W117" s="2"/>
    </row>
    <row r="118" spans="1:23" x14ac:dyDescent="0.25">
      <c r="A118" t="s">
        <v>33</v>
      </c>
      <c r="B118" t="s">
        <v>206</v>
      </c>
      <c r="C118" t="s">
        <v>206</v>
      </c>
      <c r="D118" t="s">
        <v>207</v>
      </c>
      <c r="E118" t="s">
        <v>83</v>
      </c>
      <c r="F118" t="s">
        <v>78</v>
      </c>
      <c r="G118" s="18">
        <v>24.96</v>
      </c>
      <c r="H118" s="19">
        <v>44890</v>
      </c>
      <c r="K118"/>
      <c r="L118" s="18">
        <v>40</v>
      </c>
      <c r="O118" s="2">
        <f t="shared" si="5"/>
        <v>15.04</v>
      </c>
      <c r="P118" s="2" t="str">
        <f t="shared" si="6"/>
        <v/>
      </c>
      <c r="Q118" s="4">
        <f>IFERROR(input_table[[#This Row],[est. profit]]/input_table[[#This Row],[Purchased]],)</f>
        <v>0.60256410256410253</v>
      </c>
      <c r="R118"/>
      <c r="W118" s="2"/>
    </row>
    <row r="119" spans="1:23" x14ac:dyDescent="0.25">
      <c r="A119" t="s">
        <v>33</v>
      </c>
      <c r="B119" t="s">
        <v>51</v>
      </c>
      <c r="C119" t="s">
        <v>51</v>
      </c>
      <c r="D119" t="s">
        <v>124</v>
      </c>
      <c r="E119" t="s">
        <v>31</v>
      </c>
      <c r="F119" t="s">
        <v>122</v>
      </c>
      <c r="G119" s="18">
        <v>137.44999999999999</v>
      </c>
      <c r="H119" s="19">
        <v>44651</v>
      </c>
      <c r="K119"/>
      <c r="L119" s="18">
        <v>180</v>
      </c>
      <c r="M119" t="str">
        <f>IF(J119&lt;&gt;"",J119-H119,"")</f>
        <v/>
      </c>
      <c r="O119" s="2">
        <f t="shared" si="5"/>
        <v>42.550000000000011</v>
      </c>
      <c r="P119" s="2" t="str">
        <f t="shared" si="6"/>
        <v/>
      </c>
      <c r="Q119" s="4">
        <f>IFERROR(input_table[[#This Row],[est. profit]]/input_table[[#This Row],[Purchased]],)</f>
        <v>0.30956711531465997</v>
      </c>
      <c r="R119"/>
      <c r="W119" s="2"/>
    </row>
    <row r="120" spans="1:23" x14ac:dyDescent="0.25">
      <c r="A120" t="s">
        <v>33</v>
      </c>
      <c r="B120" t="s">
        <v>196</v>
      </c>
      <c r="C120" t="s">
        <v>196</v>
      </c>
      <c r="D120" t="s">
        <v>197</v>
      </c>
      <c r="E120" t="s">
        <v>31</v>
      </c>
      <c r="F120" t="s">
        <v>198</v>
      </c>
      <c r="G120" s="18">
        <v>65</v>
      </c>
      <c r="H120" s="19">
        <v>44871</v>
      </c>
      <c r="K120"/>
      <c r="L120" s="18">
        <v>70</v>
      </c>
      <c r="O120" s="2">
        <f t="shared" si="5"/>
        <v>5</v>
      </c>
      <c r="P120" s="2" t="str">
        <f t="shared" si="6"/>
        <v/>
      </c>
      <c r="Q120" s="4">
        <f>IFERROR(input_table[[#This Row],[est. profit]]/input_table[[#This Row],[Purchased]],)</f>
        <v>7.6923076923076927E-2</v>
      </c>
      <c r="R120"/>
      <c r="W120" s="2"/>
    </row>
    <row r="121" spans="1:23" x14ac:dyDescent="0.25">
      <c r="A121" s="10" t="s">
        <v>33</v>
      </c>
      <c r="B121" s="10" t="s">
        <v>210</v>
      </c>
      <c r="C121" s="10" t="s">
        <v>210</v>
      </c>
      <c r="D121" t="s">
        <v>211</v>
      </c>
      <c r="E121" t="s">
        <v>34</v>
      </c>
      <c r="F121" s="10" t="s">
        <v>212</v>
      </c>
      <c r="G121" s="18">
        <v>157</v>
      </c>
      <c r="H121" s="19">
        <v>44841</v>
      </c>
      <c r="J121" s="17"/>
      <c r="L121" s="18">
        <v>250</v>
      </c>
      <c r="O121" s="2">
        <f t="shared" si="5"/>
        <v>93</v>
      </c>
      <c r="P121" s="2" t="str">
        <f t="shared" si="6"/>
        <v/>
      </c>
      <c r="Q121" s="4">
        <f>IFERROR(input_table[[#This Row],[est. profit]]/input_table[[#This Row],[Purchased]],)</f>
        <v>0.59235668789808915</v>
      </c>
      <c r="R121"/>
      <c r="W121" s="2"/>
    </row>
    <row r="122" spans="1:23" x14ac:dyDescent="0.25">
      <c r="A122" s="10" t="s">
        <v>33</v>
      </c>
      <c r="B122" s="10" t="s">
        <v>127</v>
      </c>
      <c r="C122" s="10" t="s">
        <v>127</v>
      </c>
      <c r="D122" t="s">
        <v>216</v>
      </c>
      <c r="E122" t="s">
        <v>34</v>
      </c>
      <c r="F122" s="10" t="s">
        <v>217</v>
      </c>
      <c r="G122" s="18">
        <v>35</v>
      </c>
      <c r="H122" s="19">
        <v>44890</v>
      </c>
      <c r="J122" s="17"/>
      <c r="L122" s="18">
        <v>50</v>
      </c>
      <c r="O122" s="2">
        <f t="shared" si="5"/>
        <v>15</v>
      </c>
      <c r="P122" s="2" t="str">
        <f t="shared" si="6"/>
        <v/>
      </c>
      <c r="Q122" s="4">
        <f>IFERROR(input_table[[#This Row],[est. profit]]/input_table[[#This Row],[Purchased]],)</f>
        <v>0.42857142857142855</v>
      </c>
      <c r="R122"/>
      <c r="W122" s="2"/>
    </row>
    <row r="123" spans="1:23" x14ac:dyDescent="0.25">
      <c r="A123" t="s">
        <v>33</v>
      </c>
      <c r="B123" t="s">
        <v>51</v>
      </c>
      <c r="C123" t="s">
        <v>51</v>
      </c>
      <c r="D123" t="s">
        <v>205</v>
      </c>
      <c r="E123" t="s">
        <v>34</v>
      </c>
      <c r="F123" t="s">
        <v>78</v>
      </c>
      <c r="G123" s="18">
        <v>85</v>
      </c>
      <c r="H123" s="19">
        <v>44893</v>
      </c>
      <c r="K123"/>
      <c r="L123" s="18">
        <v>150</v>
      </c>
      <c r="O123" s="2">
        <f t="shared" si="5"/>
        <v>65</v>
      </c>
      <c r="P123" s="2" t="str">
        <f t="shared" si="6"/>
        <v/>
      </c>
      <c r="Q123" s="4">
        <f>IFERROR(input_table[[#This Row],[est. profit]]/input_table[[#This Row],[Purchased]],)</f>
        <v>0.76470588235294112</v>
      </c>
      <c r="R123"/>
      <c r="W123" s="2"/>
    </row>
    <row r="124" spans="1:23" x14ac:dyDescent="0.25">
      <c r="A124" t="s">
        <v>33</v>
      </c>
      <c r="B124" t="s">
        <v>127</v>
      </c>
      <c r="C124" t="s">
        <v>127</v>
      </c>
      <c r="D124" t="s">
        <v>131</v>
      </c>
      <c r="E124" t="s">
        <v>49</v>
      </c>
      <c r="F124" t="s">
        <v>133</v>
      </c>
      <c r="G124" s="18">
        <v>55</v>
      </c>
      <c r="H124" s="19">
        <v>44653</v>
      </c>
      <c r="K124"/>
      <c r="L124" s="18">
        <v>100</v>
      </c>
      <c r="M124" t="str">
        <f>IF(J124&lt;&gt;"",J124-H124,"")</f>
        <v/>
      </c>
      <c r="O124" s="2">
        <f t="shared" si="5"/>
        <v>45</v>
      </c>
      <c r="P124" s="2" t="str">
        <f t="shared" si="6"/>
        <v/>
      </c>
      <c r="Q124" s="4">
        <f>IFERROR(input_table[[#This Row],[est. profit]]/input_table[[#This Row],[Purchased]],)</f>
        <v>0.81818181818181823</v>
      </c>
      <c r="R124"/>
      <c r="W124" s="2"/>
    </row>
    <row r="125" spans="1:23" x14ac:dyDescent="0.25">
      <c r="A125" t="s">
        <v>33</v>
      </c>
      <c r="B125" t="s">
        <v>127</v>
      </c>
      <c r="C125" t="s">
        <v>127</v>
      </c>
      <c r="D125" t="s">
        <v>130</v>
      </c>
      <c r="E125" t="s">
        <v>49</v>
      </c>
      <c r="F125" t="s">
        <v>133</v>
      </c>
      <c r="G125" s="18">
        <v>85</v>
      </c>
      <c r="H125" s="19">
        <v>44653</v>
      </c>
      <c r="K125"/>
      <c r="L125" s="18">
        <v>100</v>
      </c>
      <c r="M125" t="str">
        <f>IF(J125&lt;&gt;"",J125-H125,"")</f>
        <v/>
      </c>
      <c r="O125" s="2">
        <f t="shared" si="5"/>
        <v>15</v>
      </c>
      <c r="P125" s="2" t="str">
        <f t="shared" si="6"/>
        <v/>
      </c>
      <c r="Q125" s="4">
        <f>IFERROR(input_table[[#This Row],[est. profit]]/input_table[[#This Row],[Purchased]],)</f>
        <v>0.17647058823529413</v>
      </c>
      <c r="R125"/>
      <c r="W125" s="2"/>
    </row>
    <row r="126" spans="1:23" x14ac:dyDescent="0.25">
      <c r="A126" t="s">
        <v>33</v>
      </c>
      <c r="B126" t="s">
        <v>51</v>
      </c>
      <c r="C126" t="s">
        <v>51</v>
      </c>
      <c r="D126" t="s">
        <v>204</v>
      </c>
      <c r="E126" t="s">
        <v>49</v>
      </c>
      <c r="F126" t="s">
        <v>78</v>
      </c>
      <c r="G126" s="18">
        <v>35.450000000000003</v>
      </c>
      <c r="H126" s="19">
        <v>44894</v>
      </c>
      <c r="K126"/>
      <c r="L126" s="18">
        <v>50</v>
      </c>
      <c r="O126" s="2">
        <f t="shared" si="5"/>
        <v>14.549999999999997</v>
      </c>
      <c r="P126" s="2" t="str">
        <f t="shared" si="6"/>
        <v/>
      </c>
      <c r="Q126" s="4">
        <f>IFERROR(input_table[[#This Row],[est. profit]]/input_table[[#This Row],[Purchased]],)</f>
        <v>0.4104372355430182</v>
      </c>
      <c r="R126"/>
      <c r="W126" s="2"/>
    </row>
    <row r="127" spans="1:23" x14ac:dyDescent="0.25">
      <c r="A127" t="s">
        <v>33</v>
      </c>
      <c r="B127" t="s">
        <v>51</v>
      </c>
      <c r="C127" t="s">
        <v>51</v>
      </c>
      <c r="D127" t="s">
        <v>124</v>
      </c>
      <c r="E127" t="s">
        <v>107</v>
      </c>
      <c r="F127" t="s">
        <v>157</v>
      </c>
      <c r="G127" s="18">
        <v>140.44999999999999</v>
      </c>
      <c r="H127" s="19">
        <v>44711</v>
      </c>
      <c r="K127"/>
      <c r="L127" s="18">
        <v>180</v>
      </c>
      <c r="M127" t="str">
        <f>IF(J127&lt;&gt;"",J127-H127,"")</f>
        <v/>
      </c>
      <c r="O127" s="2">
        <f t="shared" si="5"/>
        <v>39.550000000000011</v>
      </c>
      <c r="P127" s="2" t="str">
        <f t="shared" si="6"/>
        <v/>
      </c>
      <c r="Q127" s="4">
        <f>IFERROR(input_table[[#This Row],[est. profit]]/input_table[[#This Row],[Purchased]],)</f>
        <v>0.28159487362050561</v>
      </c>
      <c r="R127"/>
      <c r="W127" s="2"/>
    </row>
    <row r="128" spans="1:23" x14ac:dyDescent="0.25">
      <c r="R128"/>
      <c r="W128" s="2"/>
    </row>
    <row r="129" spans="18:23" x14ac:dyDescent="0.25">
      <c r="R129"/>
      <c r="W129" s="2"/>
    </row>
    <row r="130" spans="18:23" x14ac:dyDescent="0.25">
      <c r="R130"/>
      <c r="W130" s="2"/>
    </row>
    <row r="131" spans="18:23" x14ac:dyDescent="0.25">
      <c r="R131"/>
      <c r="W131" s="2"/>
    </row>
    <row r="132" spans="18:23" x14ac:dyDescent="0.25">
      <c r="R132"/>
      <c r="W132" s="2"/>
    </row>
    <row r="133" spans="18:23" x14ac:dyDescent="0.25">
      <c r="R133"/>
      <c r="W133" s="2"/>
    </row>
    <row r="134" spans="18:23" x14ac:dyDescent="0.25">
      <c r="R134"/>
      <c r="W134" s="2"/>
    </row>
    <row r="135" spans="18:23" x14ac:dyDescent="0.25">
      <c r="R135"/>
      <c r="W135" s="2"/>
    </row>
    <row r="136" spans="18:23" x14ac:dyDescent="0.25">
      <c r="R136"/>
      <c r="W136" s="2"/>
    </row>
    <row r="137" spans="18:23" x14ac:dyDescent="0.25">
      <c r="R137"/>
      <c r="W137" s="2"/>
    </row>
    <row r="138" spans="18:23" x14ac:dyDescent="0.25">
      <c r="R138"/>
      <c r="W138" s="2"/>
    </row>
    <row r="139" spans="18:23" x14ac:dyDescent="0.25">
      <c r="R139"/>
      <c r="W139" s="2"/>
    </row>
    <row r="140" spans="18:23" x14ac:dyDescent="0.25">
      <c r="R140"/>
      <c r="W140" s="2"/>
    </row>
    <row r="141" spans="18:23" x14ac:dyDescent="0.25">
      <c r="R141"/>
      <c r="W141" s="2"/>
    </row>
    <row r="142" spans="18:23" x14ac:dyDescent="0.25">
      <c r="R142"/>
      <c r="W142" s="2"/>
    </row>
    <row r="143" spans="18:23" x14ac:dyDescent="0.25">
      <c r="R143"/>
      <c r="W143" s="2"/>
    </row>
    <row r="144" spans="18:23" x14ac:dyDescent="0.25">
      <c r="R144"/>
      <c r="W144" s="2"/>
    </row>
    <row r="145" spans="18:23" x14ac:dyDescent="0.25">
      <c r="R145"/>
      <c r="W145" s="2"/>
    </row>
    <row r="146" spans="18:23" x14ac:dyDescent="0.25">
      <c r="R146"/>
      <c r="W146" s="2"/>
    </row>
    <row r="147" spans="18:23" x14ac:dyDescent="0.25">
      <c r="R147"/>
      <c r="W147" s="2"/>
    </row>
    <row r="148" spans="18:23" x14ac:dyDescent="0.25">
      <c r="R148"/>
      <c r="W148" s="2"/>
    </row>
    <row r="149" spans="18:23" x14ac:dyDescent="0.25">
      <c r="R149"/>
      <c r="W149" s="2"/>
    </row>
    <row r="150" spans="18:23" x14ac:dyDescent="0.25">
      <c r="R150"/>
      <c r="W150" s="2"/>
    </row>
    <row r="151" spans="18:23" x14ac:dyDescent="0.25">
      <c r="R151"/>
      <c r="W151" s="2"/>
    </row>
    <row r="152" spans="18:23" x14ac:dyDescent="0.25">
      <c r="R152"/>
      <c r="W152" s="2"/>
    </row>
    <row r="153" spans="18:23" x14ac:dyDescent="0.25">
      <c r="R153"/>
      <c r="W153" s="2"/>
    </row>
    <row r="154" spans="18:23" x14ac:dyDescent="0.25">
      <c r="R154"/>
      <c r="W154" s="2"/>
    </row>
    <row r="155" spans="18:23" x14ac:dyDescent="0.25">
      <c r="R155"/>
      <c r="W155" s="2"/>
    </row>
    <row r="156" spans="18:23" x14ac:dyDescent="0.25">
      <c r="R156"/>
      <c r="W156" s="2"/>
    </row>
    <row r="157" spans="18:23" x14ac:dyDescent="0.25">
      <c r="R157"/>
      <c r="W157" s="2"/>
    </row>
    <row r="158" spans="18:23" x14ac:dyDescent="0.25">
      <c r="R158"/>
      <c r="W158" s="2"/>
    </row>
    <row r="159" spans="18:23" x14ac:dyDescent="0.25">
      <c r="R159"/>
      <c r="W159" s="2"/>
    </row>
    <row r="160" spans="18:23" x14ac:dyDescent="0.25">
      <c r="R160"/>
      <c r="W160" s="2"/>
    </row>
    <row r="161" spans="18:23" x14ac:dyDescent="0.25">
      <c r="R161"/>
      <c r="W161" s="2"/>
    </row>
    <row r="162" spans="18:23" x14ac:dyDescent="0.25">
      <c r="R162"/>
      <c r="W162" s="2"/>
    </row>
    <row r="163" spans="18:23" x14ac:dyDescent="0.25">
      <c r="R163"/>
      <c r="W163" s="2"/>
    </row>
    <row r="164" spans="18:23" x14ac:dyDescent="0.25">
      <c r="R164"/>
      <c r="W164" s="2"/>
    </row>
    <row r="165" spans="18:23" x14ac:dyDescent="0.25">
      <c r="R165"/>
      <c r="W165" s="2"/>
    </row>
    <row r="166" spans="18:23" x14ac:dyDescent="0.25">
      <c r="R166"/>
      <c r="W166" s="2"/>
    </row>
    <row r="167" spans="18:23" x14ac:dyDescent="0.25">
      <c r="R167"/>
      <c r="W167" s="2"/>
    </row>
    <row r="168" spans="18:23" x14ac:dyDescent="0.25">
      <c r="R168"/>
      <c r="W168" s="2"/>
    </row>
    <row r="169" spans="18:23" x14ac:dyDescent="0.25">
      <c r="R169"/>
      <c r="W169" s="2"/>
    </row>
    <row r="170" spans="18:23" x14ac:dyDescent="0.25">
      <c r="R170"/>
      <c r="W170" s="2"/>
    </row>
    <row r="171" spans="18:23" x14ac:dyDescent="0.25">
      <c r="R171"/>
      <c r="W171" s="2"/>
    </row>
    <row r="172" spans="18:23" x14ac:dyDescent="0.25">
      <c r="R172"/>
      <c r="W172" s="2"/>
    </row>
    <row r="173" spans="18:23" x14ac:dyDescent="0.25">
      <c r="R173"/>
      <c r="W173" s="2"/>
    </row>
    <row r="174" spans="18:23" x14ac:dyDescent="0.25">
      <c r="R174"/>
      <c r="W174" s="2"/>
    </row>
    <row r="175" spans="18:23" x14ac:dyDescent="0.25">
      <c r="R175"/>
      <c r="W175" s="2"/>
    </row>
    <row r="176" spans="18:23" x14ac:dyDescent="0.25">
      <c r="R176"/>
      <c r="W176" s="2"/>
    </row>
    <row r="177" spans="18:23" x14ac:dyDescent="0.25">
      <c r="R177"/>
      <c r="W177" s="2"/>
    </row>
    <row r="178" spans="18:23" x14ac:dyDescent="0.25">
      <c r="R178"/>
      <c r="W178" s="2"/>
    </row>
    <row r="179" spans="18:23" x14ac:dyDescent="0.25">
      <c r="R179"/>
      <c r="W179" s="2"/>
    </row>
    <row r="180" spans="18:23" x14ac:dyDescent="0.25">
      <c r="R180"/>
      <c r="W180" s="2"/>
    </row>
    <row r="181" spans="18:23" x14ac:dyDescent="0.25">
      <c r="R181"/>
      <c r="W181" s="2"/>
    </row>
    <row r="182" spans="18:23" x14ac:dyDescent="0.25">
      <c r="R182"/>
      <c r="W182" s="2"/>
    </row>
    <row r="183" spans="18:23" x14ac:dyDescent="0.25">
      <c r="R183"/>
      <c r="W183" s="2"/>
    </row>
    <row r="184" spans="18:23" x14ac:dyDescent="0.25">
      <c r="R184"/>
      <c r="W184" s="2"/>
    </row>
    <row r="185" spans="18:23" x14ac:dyDescent="0.25">
      <c r="R185"/>
      <c r="W185" s="2"/>
    </row>
    <row r="186" spans="18:23" x14ac:dyDescent="0.25">
      <c r="R186"/>
      <c r="W186" s="2"/>
    </row>
    <row r="187" spans="18:23" x14ac:dyDescent="0.25">
      <c r="R187"/>
      <c r="W187" s="2"/>
    </row>
    <row r="188" spans="18:23" x14ac:dyDescent="0.25">
      <c r="R188"/>
      <c r="W188" s="2"/>
    </row>
    <row r="189" spans="18:23" x14ac:dyDescent="0.25">
      <c r="R189"/>
      <c r="W189" s="2"/>
    </row>
    <row r="190" spans="18:23" x14ac:dyDescent="0.25">
      <c r="R190"/>
      <c r="W190" s="2"/>
    </row>
    <row r="191" spans="18:23" x14ac:dyDescent="0.25">
      <c r="R191"/>
      <c r="W191" s="2"/>
    </row>
    <row r="192" spans="18:23" x14ac:dyDescent="0.25">
      <c r="R192"/>
      <c r="W192" s="2"/>
    </row>
    <row r="193" spans="18:23" x14ac:dyDescent="0.25">
      <c r="R193"/>
      <c r="W193" s="2"/>
    </row>
    <row r="194" spans="18:23" x14ac:dyDescent="0.25">
      <c r="R194"/>
      <c r="W194" s="2"/>
    </row>
    <row r="195" spans="18:23" x14ac:dyDescent="0.25">
      <c r="R195"/>
      <c r="W195" s="2"/>
    </row>
    <row r="196" spans="18:23" x14ac:dyDescent="0.25">
      <c r="R196"/>
      <c r="W196" s="2"/>
    </row>
    <row r="197" spans="18:23" x14ac:dyDescent="0.25">
      <c r="R197"/>
      <c r="W197" s="2"/>
    </row>
    <row r="198" spans="18:23" x14ac:dyDescent="0.25">
      <c r="R198"/>
      <c r="W198" s="2"/>
    </row>
    <row r="199" spans="18:23" x14ac:dyDescent="0.25">
      <c r="R199"/>
      <c r="W199" s="2"/>
    </row>
    <row r="200" spans="18:23" x14ac:dyDescent="0.25">
      <c r="R200"/>
      <c r="W200" s="2"/>
    </row>
    <row r="201" spans="18:23" x14ac:dyDescent="0.25">
      <c r="R201"/>
      <c r="W201" s="2"/>
    </row>
    <row r="202" spans="18:23" x14ac:dyDescent="0.25">
      <c r="R202"/>
      <c r="W202" s="2"/>
    </row>
    <row r="203" spans="18:23" x14ac:dyDescent="0.25">
      <c r="R203"/>
      <c r="W203" s="2"/>
    </row>
    <row r="204" spans="18:23" x14ac:dyDescent="0.25">
      <c r="R204"/>
      <c r="W204" s="2"/>
    </row>
    <row r="205" spans="18:23" x14ac:dyDescent="0.25">
      <c r="R205"/>
      <c r="W205" s="2"/>
    </row>
    <row r="206" spans="18:23" x14ac:dyDescent="0.25">
      <c r="R206"/>
      <c r="W206" s="2"/>
    </row>
    <row r="207" spans="18:23" x14ac:dyDescent="0.25">
      <c r="R207"/>
      <c r="W207" s="2"/>
    </row>
    <row r="208" spans="18:23" x14ac:dyDescent="0.25">
      <c r="R208"/>
      <c r="W208" s="2"/>
    </row>
    <row r="209" spans="18:23" x14ac:dyDescent="0.25">
      <c r="R209"/>
      <c r="W209" s="2"/>
    </row>
    <row r="210" spans="18:23" x14ac:dyDescent="0.25">
      <c r="R210"/>
      <c r="W210" s="2"/>
    </row>
    <row r="211" spans="18:23" x14ac:dyDescent="0.25">
      <c r="R211"/>
      <c r="W211" s="2"/>
    </row>
    <row r="212" spans="18:23" x14ac:dyDescent="0.25">
      <c r="R212"/>
      <c r="W212" s="2"/>
    </row>
    <row r="213" spans="18:23" x14ac:dyDescent="0.25">
      <c r="R213"/>
      <c r="W213" s="2"/>
    </row>
    <row r="214" spans="18:23" x14ac:dyDescent="0.25">
      <c r="R214"/>
      <c r="W214" s="2"/>
    </row>
    <row r="215" spans="18:23" x14ac:dyDescent="0.25">
      <c r="R215"/>
      <c r="W215" s="2"/>
    </row>
    <row r="216" spans="18:23" x14ac:dyDescent="0.25">
      <c r="R216"/>
      <c r="W216" s="2"/>
    </row>
    <row r="217" spans="18:23" x14ac:dyDescent="0.25">
      <c r="R217"/>
      <c r="W217" s="2"/>
    </row>
    <row r="218" spans="18:23" x14ac:dyDescent="0.25">
      <c r="R218"/>
      <c r="W218" s="2"/>
    </row>
    <row r="219" spans="18:23" x14ac:dyDescent="0.25">
      <c r="R219"/>
      <c r="W219" s="2"/>
    </row>
    <row r="220" spans="18:23" x14ac:dyDescent="0.25">
      <c r="R220"/>
      <c r="W220" s="2"/>
    </row>
    <row r="221" spans="18:23" x14ac:dyDescent="0.25">
      <c r="R221"/>
      <c r="W221" s="2"/>
    </row>
    <row r="222" spans="18:23" x14ac:dyDescent="0.25">
      <c r="R222"/>
      <c r="W222" s="2"/>
    </row>
    <row r="223" spans="18:23" x14ac:dyDescent="0.25">
      <c r="R223"/>
      <c r="W223" s="2"/>
    </row>
    <row r="224" spans="18:23" x14ac:dyDescent="0.25">
      <c r="R224"/>
      <c r="W224" s="2"/>
    </row>
    <row r="225" spans="18:23" x14ac:dyDescent="0.25">
      <c r="R225"/>
      <c r="W225" s="2"/>
    </row>
    <row r="226" spans="18:23" x14ac:dyDescent="0.25">
      <c r="R226"/>
      <c r="W226" s="2"/>
    </row>
    <row r="227" spans="18:23" x14ac:dyDescent="0.25">
      <c r="R227"/>
      <c r="W227" s="2"/>
    </row>
    <row r="228" spans="18:23" x14ac:dyDescent="0.25">
      <c r="R228"/>
      <c r="W228" s="2"/>
    </row>
    <row r="229" spans="18:23" x14ac:dyDescent="0.25">
      <c r="R229"/>
      <c r="W229" s="2"/>
    </row>
    <row r="230" spans="18:23" x14ac:dyDescent="0.25">
      <c r="R230"/>
      <c r="W230" s="2"/>
    </row>
    <row r="231" spans="18:23" x14ac:dyDescent="0.25">
      <c r="R231"/>
      <c r="W231" s="2"/>
    </row>
    <row r="232" spans="18:23" x14ac:dyDescent="0.25">
      <c r="R232"/>
      <c r="W232" s="2"/>
    </row>
    <row r="233" spans="18:23" x14ac:dyDescent="0.25">
      <c r="R233"/>
      <c r="W233" s="2"/>
    </row>
    <row r="234" spans="18:23" x14ac:dyDescent="0.25">
      <c r="R234"/>
      <c r="W234" s="2"/>
    </row>
    <row r="235" spans="18:23" x14ac:dyDescent="0.25">
      <c r="R235"/>
      <c r="W235" s="2"/>
    </row>
    <row r="236" spans="18:23" x14ac:dyDescent="0.25">
      <c r="R236"/>
      <c r="W236" s="2"/>
    </row>
    <row r="237" spans="18:23" x14ac:dyDescent="0.25">
      <c r="R237"/>
      <c r="W237" s="2"/>
    </row>
    <row r="238" spans="18:23" x14ac:dyDescent="0.25">
      <c r="R238"/>
      <c r="W238" s="2"/>
    </row>
    <row r="239" spans="18:23" x14ac:dyDescent="0.25">
      <c r="R239"/>
      <c r="W239" s="2"/>
    </row>
    <row r="240" spans="18:23" x14ac:dyDescent="0.25">
      <c r="R240"/>
      <c r="W240" s="2"/>
    </row>
    <row r="241" spans="18:23" x14ac:dyDescent="0.25">
      <c r="R241"/>
      <c r="W241" s="2"/>
    </row>
    <row r="242" spans="18:23" x14ac:dyDescent="0.25">
      <c r="R242"/>
      <c r="W242" s="2"/>
    </row>
    <row r="243" spans="18:23" x14ac:dyDescent="0.25">
      <c r="R243"/>
      <c r="W243" s="2"/>
    </row>
    <row r="244" spans="18:23" x14ac:dyDescent="0.25">
      <c r="R244"/>
      <c r="W244" s="2"/>
    </row>
    <row r="245" spans="18:23" x14ac:dyDescent="0.25">
      <c r="R245"/>
      <c r="W245" s="2"/>
    </row>
    <row r="246" spans="18:23" x14ac:dyDescent="0.25">
      <c r="R246"/>
      <c r="W246" s="2"/>
    </row>
    <row r="247" spans="18:23" x14ac:dyDescent="0.25">
      <c r="R247"/>
      <c r="W247" s="2"/>
    </row>
    <row r="248" spans="18:23" x14ac:dyDescent="0.25">
      <c r="R248"/>
      <c r="W248" s="2"/>
    </row>
    <row r="249" spans="18:23" x14ac:dyDescent="0.25">
      <c r="R249"/>
      <c r="W249" s="2"/>
    </row>
    <row r="250" spans="18:23" x14ac:dyDescent="0.25">
      <c r="R250"/>
      <c r="W250" s="2"/>
    </row>
    <row r="251" spans="18:23" x14ac:dyDescent="0.25">
      <c r="R251"/>
      <c r="W251" s="2"/>
    </row>
    <row r="252" spans="18:23" x14ac:dyDescent="0.25">
      <c r="R252"/>
      <c r="W252" s="2"/>
    </row>
    <row r="253" spans="18:23" x14ac:dyDescent="0.25">
      <c r="R253"/>
      <c r="W253" s="2"/>
    </row>
    <row r="254" spans="18:23" x14ac:dyDescent="0.25">
      <c r="R254"/>
      <c r="W254" s="2"/>
    </row>
    <row r="255" spans="18:23" x14ac:dyDescent="0.25">
      <c r="R255"/>
      <c r="W255" s="2"/>
    </row>
    <row r="256" spans="18:23" x14ac:dyDescent="0.25">
      <c r="R256"/>
      <c r="W256" s="2"/>
    </row>
    <row r="257" spans="18:23" x14ac:dyDescent="0.25">
      <c r="R257"/>
      <c r="W257" s="2"/>
    </row>
    <row r="258" spans="18:23" x14ac:dyDescent="0.25">
      <c r="R258"/>
      <c r="W258" s="2"/>
    </row>
    <row r="259" spans="18:23" x14ac:dyDescent="0.25">
      <c r="R259"/>
      <c r="W259" s="2"/>
    </row>
    <row r="260" spans="18:23" x14ac:dyDescent="0.25">
      <c r="R260"/>
      <c r="W260" s="2"/>
    </row>
    <row r="261" spans="18:23" x14ac:dyDescent="0.25">
      <c r="R261"/>
      <c r="W261" s="2"/>
    </row>
    <row r="262" spans="18:23" x14ac:dyDescent="0.25">
      <c r="R262"/>
      <c r="W262" s="2"/>
    </row>
    <row r="263" spans="18:23" x14ac:dyDescent="0.25">
      <c r="R263"/>
      <c r="W263" s="2"/>
    </row>
    <row r="264" spans="18:23" x14ac:dyDescent="0.25">
      <c r="R264"/>
      <c r="W264" s="2"/>
    </row>
    <row r="265" spans="18:23" x14ac:dyDescent="0.25">
      <c r="R265"/>
      <c r="W265" s="2"/>
    </row>
    <row r="266" spans="18:23" x14ac:dyDescent="0.25">
      <c r="R266"/>
      <c r="W266" s="2"/>
    </row>
    <row r="267" spans="18:23" x14ac:dyDescent="0.25">
      <c r="R267"/>
      <c r="W267" s="2"/>
    </row>
    <row r="268" spans="18:23" x14ac:dyDescent="0.25">
      <c r="R268"/>
      <c r="W268" s="2"/>
    </row>
    <row r="269" spans="18:23" x14ac:dyDescent="0.25">
      <c r="R269"/>
      <c r="W269" s="2"/>
    </row>
    <row r="270" spans="18:23" x14ac:dyDescent="0.25">
      <c r="R270"/>
      <c r="W270" s="2"/>
    </row>
    <row r="271" spans="18:23" x14ac:dyDescent="0.25">
      <c r="R271"/>
      <c r="W271" s="2"/>
    </row>
    <row r="272" spans="18:23" x14ac:dyDescent="0.25">
      <c r="R272"/>
      <c r="W272" s="2"/>
    </row>
    <row r="273" spans="18:23" x14ac:dyDescent="0.25">
      <c r="R273"/>
      <c r="W273" s="2"/>
    </row>
    <row r="274" spans="18:23" x14ac:dyDescent="0.25">
      <c r="R274"/>
      <c r="W274" s="2"/>
    </row>
    <row r="275" spans="18:23" x14ac:dyDescent="0.25">
      <c r="R275"/>
      <c r="W275" s="2"/>
    </row>
    <row r="276" spans="18:23" x14ac:dyDescent="0.25">
      <c r="R276"/>
      <c r="W276" s="2"/>
    </row>
    <row r="277" spans="18:23" x14ac:dyDescent="0.25">
      <c r="R277"/>
      <c r="W277" s="2"/>
    </row>
    <row r="278" spans="18:23" x14ac:dyDescent="0.25">
      <c r="R278"/>
      <c r="W278" s="2"/>
    </row>
    <row r="279" spans="18:23" x14ac:dyDescent="0.25">
      <c r="R279"/>
      <c r="W279" s="2"/>
    </row>
    <row r="280" spans="18:23" x14ac:dyDescent="0.25">
      <c r="R280"/>
      <c r="W280" s="2"/>
    </row>
    <row r="281" spans="18:23" x14ac:dyDescent="0.25">
      <c r="R281"/>
      <c r="W281" s="2"/>
    </row>
    <row r="282" spans="18:23" x14ac:dyDescent="0.25">
      <c r="R282"/>
      <c r="W282" s="2"/>
    </row>
    <row r="283" spans="18:23" x14ac:dyDescent="0.25">
      <c r="R283"/>
      <c r="W283" s="2"/>
    </row>
    <row r="284" spans="18:23" x14ac:dyDescent="0.25">
      <c r="R284"/>
      <c r="W284" s="2"/>
    </row>
    <row r="285" spans="18:23" x14ac:dyDescent="0.25">
      <c r="R285"/>
      <c r="W285" s="2"/>
    </row>
    <row r="286" spans="18:23" x14ac:dyDescent="0.25">
      <c r="R286"/>
      <c r="W286" s="2"/>
    </row>
    <row r="287" spans="18:23" x14ac:dyDescent="0.25">
      <c r="R287"/>
      <c r="W287" s="2"/>
    </row>
    <row r="288" spans="18:23" x14ac:dyDescent="0.25">
      <c r="R288"/>
      <c r="W288" s="2"/>
    </row>
    <row r="289" spans="18:23" x14ac:dyDescent="0.25">
      <c r="R289"/>
      <c r="W289" s="2"/>
    </row>
    <row r="290" spans="18:23" x14ac:dyDescent="0.25">
      <c r="R290"/>
      <c r="W290" s="2"/>
    </row>
    <row r="291" spans="18:23" x14ac:dyDescent="0.25">
      <c r="R291"/>
      <c r="W291" s="2"/>
    </row>
    <row r="292" spans="18:23" x14ac:dyDescent="0.25">
      <c r="R292"/>
      <c r="W292" s="2"/>
    </row>
    <row r="293" spans="18:23" x14ac:dyDescent="0.25">
      <c r="R293"/>
      <c r="W293" s="2"/>
    </row>
    <row r="294" spans="18:23" x14ac:dyDescent="0.25">
      <c r="R294"/>
      <c r="W294" s="2"/>
    </row>
    <row r="295" spans="18:23" x14ac:dyDescent="0.25">
      <c r="R295"/>
      <c r="W295" s="2"/>
    </row>
    <row r="296" spans="18:23" x14ac:dyDescent="0.25">
      <c r="R296"/>
      <c r="W296" s="2"/>
    </row>
    <row r="297" spans="18:23" x14ac:dyDescent="0.25">
      <c r="R297"/>
      <c r="W297" s="2"/>
    </row>
    <row r="298" spans="18:23" x14ac:dyDescent="0.25">
      <c r="R298"/>
      <c r="W298" s="2"/>
    </row>
    <row r="299" spans="18:23" x14ac:dyDescent="0.25">
      <c r="R299"/>
      <c r="W299" s="2"/>
    </row>
    <row r="300" spans="18:23" x14ac:dyDescent="0.25">
      <c r="R300"/>
      <c r="W300" s="2"/>
    </row>
    <row r="301" spans="18:23" x14ac:dyDescent="0.25">
      <c r="R301"/>
      <c r="W301" s="2"/>
    </row>
    <row r="302" spans="18:23" x14ac:dyDescent="0.25">
      <c r="R302"/>
      <c r="W302" s="2"/>
    </row>
    <row r="303" spans="18:23" x14ac:dyDescent="0.25">
      <c r="R303"/>
      <c r="W303" s="2"/>
    </row>
    <row r="304" spans="18:23" x14ac:dyDescent="0.25">
      <c r="R304"/>
      <c r="W304" s="2"/>
    </row>
    <row r="305" spans="18:23" x14ac:dyDescent="0.25">
      <c r="R305"/>
      <c r="W305" s="2"/>
    </row>
    <row r="306" spans="18:23" x14ac:dyDescent="0.25">
      <c r="R306"/>
      <c r="W306" s="2"/>
    </row>
    <row r="307" spans="18:23" x14ac:dyDescent="0.25">
      <c r="R307"/>
      <c r="W307" s="2"/>
    </row>
    <row r="308" spans="18:23" x14ac:dyDescent="0.25">
      <c r="R308"/>
      <c r="W308" s="2"/>
    </row>
    <row r="309" spans="18:23" x14ac:dyDescent="0.25">
      <c r="R309"/>
      <c r="W309" s="2"/>
    </row>
    <row r="310" spans="18:23" x14ac:dyDescent="0.25">
      <c r="R310"/>
      <c r="W310" s="2"/>
    </row>
    <row r="311" spans="18:23" x14ac:dyDescent="0.25">
      <c r="R311"/>
      <c r="W311" s="2"/>
    </row>
    <row r="312" spans="18:23" x14ac:dyDescent="0.25">
      <c r="R312"/>
      <c r="W312" s="2"/>
    </row>
    <row r="313" spans="18:23" x14ac:dyDescent="0.25">
      <c r="R313"/>
      <c r="W313" s="2"/>
    </row>
    <row r="314" spans="18:23" x14ac:dyDescent="0.25">
      <c r="R314"/>
      <c r="W314" s="2"/>
    </row>
    <row r="315" spans="18:23" x14ac:dyDescent="0.25">
      <c r="R315"/>
      <c r="W315" s="2"/>
    </row>
    <row r="316" spans="18:23" x14ac:dyDescent="0.25">
      <c r="R316"/>
      <c r="W316" s="2"/>
    </row>
    <row r="317" spans="18:23" x14ac:dyDescent="0.25">
      <c r="R317"/>
      <c r="W317" s="2"/>
    </row>
    <row r="318" spans="18:23" x14ac:dyDescent="0.25">
      <c r="R318"/>
      <c r="W318" s="2"/>
    </row>
    <row r="319" spans="18:23" x14ac:dyDescent="0.25">
      <c r="R319"/>
      <c r="W319" s="2"/>
    </row>
    <row r="320" spans="18:23" x14ac:dyDescent="0.25">
      <c r="R320"/>
      <c r="W320" s="2"/>
    </row>
    <row r="321" spans="18:23" x14ac:dyDescent="0.25">
      <c r="R321"/>
      <c r="W321" s="2"/>
    </row>
    <row r="322" spans="18:23" x14ac:dyDescent="0.25">
      <c r="R322"/>
      <c r="W322" s="2"/>
    </row>
    <row r="323" spans="18:23" x14ac:dyDescent="0.25">
      <c r="R323"/>
      <c r="W323" s="2"/>
    </row>
    <row r="324" spans="18:23" x14ac:dyDescent="0.25">
      <c r="R324"/>
      <c r="W324" s="2"/>
    </row>
    <row r="325" spans="18:23" x14ac:dyDescent="0.25">
      <c r="R325"/>
      <c r="W325" s="2"/>
    </row>
    <row r="326" spans="18:23" x14ac:dyDescent="0.25">
      <c r="R326"/>
      <c r="W326" s="2"/>
    </row>
    <row r="327" spans="18:23" x14ac:dyDescent="0.25">
      <c r="R327"/>
      <c r="W327" s="2"/>
    </row>
    <row r="328" spans="18:23" x14ac:dyDescent="0.25">
      <c r="R328"/>
      <c r="W328" s="2"/>
    </row>
    <row r="329" spans="18:23" x14ac:dyDescent="0.25">
      <c r="R329"/>
      <c r="W329" s="2"/>
    </row>
    <row r="330" spans="18:23" x14ac:dyDescent="0.25">
      <c r="R330"/>
      <c r="W330" s="2"/>
    </row>
    <row r="331" spans="18:23" x14ac:dyDescent="0.25">
      <c r="R331"/>
      <c r="W331" s="2"/>
    </row>
    <row r="332" spans="18:23" x14ac:dyDescent="0.25">
      <c r="R332"/>
      <c r="W332" s="2"/>
    </row>
    <row r="333" spans="18:23" x14ac:dyDescent="0.25">
      <c r="R333"/>
      <c r="W333" s="2"/>
    </row>
    <row r="334" spans="18:23" x14ac:dyDescent="0.25">
      <c r="R334"/>
      <c r="W334" s="2"/>
    </row>
    <row r="335" spans="18:23" x14ac:dyDescent="0.25">
      <c r="R335"/>
      <c r="W335" s="2"/>
    </row>
    <row r="336" spans="18:23" x14ac:dyDescent="0.25">
      <c r="R336"/>
      <c r="W336" s="2"/>
    </row>
    <row r="337" spans="18:23" x14ac:dyDescent="0.25">
      <c r="R337"/>
      <c r="W337" s="2"/>
    </row>
    <row r="338" spans="18:23" x14ac:dyDescent="0.25">
      <c r="R338"/>
      <c r="W338" s="2"/>
    </row>
    <row r="339" spans="18:23" x14ac:dyDescent="0.25">
      <c r="R339"/>
      <c r="W339" s="2"/>
    </row>
    <row r="340" spans="18:23" x14ac:dyDescent="0.25">
      <c r="R340"/>
      <c r="W340" s="2"/>
    </row>
    <row r="341" spans="18:23" x14ac:dyDescent="0.25">
      <c r="R341"/>
      <c r="W341" s="2"/>
    </row>
    <row r="342" spans="18:23" x14ac:dyDescent="0.25">
      <c r="R342"/>
      <c r="W342" s="2"/>
    </row>
    <row r="343" spans="18:23" x14ac:dyDescent="0.25">
      <c r="R343"/>
      <c r="W343" s="2"/>
    </row>
    <row r="344" spans="18:23" x14ac:dyDescent="0.25">
      <c r="R344"/>
      <c r="W344" s="2"/>
    </row>
    <row r="345" spans="18:23" x14ac:dyDescent="0.25">
      <c r="R345"/>
      <c r="W345" s="2"/>
    </row>
    <row r="346" spans="18:23" x14ac:dyDescent="0.25">
      <c r="R346"/>
      <c r="W346" s="2"/>
    </row>
    <row r="347" spans="18:23" x14ac:dyDescent="0.25">
      <c r="R347"/>
      <c r="W347" s="2"/>
    </row>
    <row r="348" spans="18:23" x14ac:dyDescent="0.25">
      <c r="R348"/>
      <c r="W348" s="2"/>
    </row>
    <row r="349" spans="18:23" x14ac:dyDescent="0.25">
      <c r="R349"/>
      <c r="W349" s="2"/>
    </row>
    <row r="350" spans="18:23" x14ac:dyDescent="0.25">
      <c r="R350"/>
      <c r="W350" s="2"/>
    </row>
    <row r="351" spans="18:23" x14ac:dyDescent="0.25">
      <c r="R351"/>
      <c r="W351" s="2"/>
    </row>
    <row r="352" spans="18:23" x14ac:dyDescent="0.25">
      <c r="R352"/>
      <c r="W352" s="2"/>
    </row>
    <row r="353" spans="18:23" x14ac:dyDescent="0.25">
      <c r="R353"/>
      <c r="W353" s="2"/>
    </row>
    <row r="354" spans="18:23" x14ac:dyDescent="0.25">
      <c r="R354"/>
      <c r="W354" s="2"/>
    </row>
    <row r="355" spans="18:23" x14ac:dyDescent="0.25">
      <c r="R355"/>
      <c r="W355" s="2"/>
    </row>
    <row r="356" spans="18:23" x14ac:dyDescent="0.25">
      <c r="R356"/>
      <c r="W356" s="2"/>
    </row>
    <row r="357" spans="18:23" x14ac:dyDescent="0.25">
      <c r="R357"/>
      <c r="W357" s="2"/>
    </row>
    <row r="358" spans="18:23" x14ac:dyDescent="0.25">
      <c r="R358"/>
      <c r="W358" s="2"/>
    </row>
    <row r="359" spans="18:23" x14ac:dyDescent="0.25">
      <c r="R359"/>
      <c r="W359" s="2"/>
    </row>
    <row r="360" spans="18:23" x14ac:dyDescent="0.25">
      <c r="R360"/>
      <c r="W360" s="2"/>
    </row>
    <row r="361" spans="18:23" x14ac:dyDescent="0.25">
      <c r="R361"/>
      <c r="W361" s="2"/>
    </row>
    <row r="362" spans="18:23" x14ac:dyDescent="0.25">
      <c r="R362"/>
      <c r="W362" s="2"/>
    </row>
    <row r="363" spans="18:23" x14ac:dyDescent="0.25">
      <c r="R363"/>
      <c r="W363" s="2"/>
    </row>
    <row r="364" spans="18:23" x14ac:dyDescent="0.25">
      <c r="R364"/>
      <c r="W364" s="2"/>
    </row>
    <row r="365" spans="18:23" x14ac:dyDescent="0.25">
      <c r="R365"/>
      <c r="W365" s="2"/>
    </row>
    <row r="366" spans="18:23" x14ac:dyDescent="0.25">
      <c r="R366"/>
      <c r="W366" s="2"/>
    </row>
    <row r="367" spans="18:23" x14ac:dyDescent="0.25">
      <c r="R367"/>
      <c r="W367" s="2"/>
    </row>
    <row r="368" spans="18:23" x14ac:dyDescent="0.25">
      <c r="R368"/>
      <c r="W368" s="2"/>
    </row>
    <row r="369" spans="18:23" x14ac:dyDescent="0.25">
      <c r="R369"/>
      <c r="W369" s="2"/>
    </row>
    <row r="370" spans="18:23" x14ac:dyDescent="0.25">
      <c r="R370"/>
      <c r="W370" s="2"/>
    </row>
    <row r="371" spans="18:23" x14ac:dyDescent="0.25">
      <c r="R371"/>
      <c r="W371" s="2"/>
    </row>
    <row r="372" spans="18:23" x14ac:dyDescent="0.25">
      <c r="R372"/>
      <c r="W372" s="2"/>
    </row>
    <row r="373" spans="18:23" x14ac:dyDescent="0.25">
      <c r="R373"/>
      <c r="W373" s="2"/>
    </row>
    <row r="374" spans="18:23" x14ac:dyDescent="0.25">
      <c r="R374"/>
      <c r="W374" s="2"/>
    </row>
    <row r="375" spans="18:23" x14ac:dyDescent="0.25">
      <c r="R375"/>
      <c r="W375" s="2"/>
    </row>
    <row r="376" spans="18:23" x14ac:dyDescent="0.25">
      <c r="R376"/>
      <c r="W376" s="2"/>
    </row>
    <row r="377" spans="18:23" x14ac:dyDescent="0.25">
      <c r="R377"/>
      <c r="W377" s="2"/>
    </row>
    <row r="378" spans="18:23" x14ac:dyDescent="0.25">
      <c r="R378"/>
      <c r="W378" s="2"/>
    </row>
    <row r="379" spans="18:23" x14ac:dyDescent="0.25">
      <c r="R379"/>
      <c r="W379" s="2"/>
    </row>
    <row r="380" spans="18:23" x14ac:dyDescent="0.25">
      <c r="R380"/>
      <c r="W380" s="2"/>
    </row>
    <row r="381" spans="18:23" x14ac:dyDescent="0.25">
      <c r="R381"/>
      <c r="W381" s="2"/>
    </row>
    <row r="382" spans="18:23" x14ac:dyDescent="0.25">
      <c r="R382"/>
      <c r="W382" s="2"/>
    </row>
    <row r="383" spans="18:23" x14ac:dyDescent="0.25">
      <c r="R383"/>
      <c r="W383" s="2"/>
    </row>
    <row r="384" spans="18:23" x14ac:dyDescent="0.25">
      <c r="R384"/>
      <c r="W384" s="2"/>
    </row>
    <row r="385" spans="18:23" x14ac:dyDescent="0.25">
      <c r="R385"/>
      <c r="W385" s="2"/>
    </row>
    <row r="386" spans="18:23" x14ac:dyDescent="0.25">
      <c r="R386"/>
      <c r="W386" s="2"/>
    </row>
    <row r="387" spans="18:23" x14ac:dyDescent="0.25">
      <c r="R387"/>
      <c r="W387" s="2"/>
    </row>
    <row r="388" spans="18:23" x14ac:dyDescent="0.25">
      <c r="R388"/>
      <c r="W388" s="2"/>
    </row>
    <row r="389" spans="18:23" x14ac:dyDescent="0.25">
      <c r="R389"/>
      <c r="W389" s="2"/>
    </row>
    <row r="390" spans="18:23" x14ac:dyDescent="0.25">
      <c r="R390"/>
      <c r="W390" s="2"/>
    </row>
    <row r="391" spans="18:23" x14ac:dyDescent="0.25">
      <c r="R391"/>
      <c r="W391" s="2"/>
    </row>
    <row r="392" spans="18:23" x14ac:dyDescent="0.25">
      <c r="R392"/>
      <c r="W392" s="2"/>
    </row>
    <row r="393" spans="18:23" x14ac:dyDescent="0.25">
      <c r="R393"/>
      <c r="W393" s="2"/>
    </row>
    <row r="394" spans="18:23" x14ac:dyDescent="0.25">
      <c r="R394"/>
      <c r="W394" s="2"/>
    </row>
    <row r="395" spans="18:23" x14ac:dyDescent="0.25">
      <c r="R395"/>
      <c r="W395" s="2"/>
    </row>
    <row r="396" spans="18:23" x14ac:dyDescent="0.25">
      <c r="R396"/>
      <c r="W396" s="2"/>
    </row>
    <row r="397" spans="18:23" x14ac:dyDescent="0.25">
      <c r="R397"/>
      <c r="W397" s="2"/>
    </row>
    <row r="398" spans="18:23" x14ac:dyDescent="0.25">
      <c r="R398"/>
      <c r="W398" s="2"/>
    </row>
    <row r="399" spans="18:23" x14ac:dyDescent="0.25">
      <c r="R399"/>
      <c r="W399" s="2"/>
    </row>
    <row r="400" spans="18:23" x14ac:dyDescent="0.25">
      <c r="R400"/>
      <c r="W400" s="2"/>
    </row>
    <row r="401" spans="18:23" x14ac:dyDescent="0.25">
      <c r="R401"/>
      <c r="W401" s="2"/>
    </row>
    <row r="402" spans="18:23" x14ac:dyDescent="0.25">
      <c r="R402"/>
      <c r="W402" s="2"/>
    </row>
    <row r="403" spans="18:23" x14ac:dyDescent="0.25">
      <c r="R403"/>
      <c r="W403" s="2"/>
    </row>
    <row r="404" spans="18:23" x14ac:dyDescent="0.25">
      <c r="R404"/>
      <c r="W404" s="2"/>
    </row>
    <row r="405" spans="18:23" x14ac:dyDescent="0.25">
      <c r="R405"/>
      <c r="W405" s="2"/>
    </row>
    <row r="406" spans="18:23" x14ac:dyDescent="0.25">
      <c r="R406"/>
      <c r="W406" s="2"/>
    </row>
    <row r="407" spans="18:23" x14ac:dyDescent="0.25">
      <c r="R407"/>
      <c r="W407" s="2"/>
    </row>
    <row r="408" spans="18:23" x14ac:dyDescent="0.25">
      <c r="R408"/>
      <c r="W408" s="2"/>
    </row>
    <row r="409" spans="18:23" x14ac:dyDescent="0.25">
      <c r="R409"/>
      <c r="W409" s="2"/>
    </row>
    <row r="410" spans="18:23" x14ac:dyDescent="0.25">
      <c r="R410"/>
      <c r="W410" s="2"/>
    </row>
    <row r="411" spans="18:23" x14ac:dyDescent="0.25">
      <c r="R411"/>
      <c r="W411" s="2"/>
    </row>
    <row r="412" spans="18:23" x14ac:dyDescent="0.25">
      <c r="R412"/>
      <c r="W412" s="2"/>
    </row>
    <row r="413" spans="18:23" x14ac:dyDescent="0.25">
      <c r="R413"/>
      <c r="W413" s="2"/>
    </row>
    <row r="414" spans="18:23" x14ac:dyDescent="0.25">
      <c r="R414"/>
      <c r="W414" s="2"/>
    </row>
    <row r="415" spans="18:23" x14ac:dyDescent="0.25">
      <c r="R415"/>
      <c r="W415" s="2"/>
    </row>
    <row r="416" spans="18:23" x14ac:dyDescent="0.25">
      <c r="R416"/>
      <c r="W416" s="2"/>
    </row>
    <row r="417" spans="18:23" x14ac:dyDescent="0.25">
      <c r="R417"/>
      <c r="W417" s="2"/>
    </row>
    <row r="418" spans="18:23" x14ac:dyDescent="0.25">
      <c r="R418"/>
      <c r="W418" s="2"/>
    </row>
    <row r="419" spans="18:23" x14ac:dyDescent="0.25">
      <c r="R419"/>
      <c r="W419" s="2"/>
    </row>
    <row r="420" spans="18:23" x14ac:dyDescent="0.25">
      <c r="R420"/>
      <c r="W420" s="2"/>
    </row>
    <row r="421" spans="18:23" x14ac:dyDescent="0.25">
      <c r="R421"/>
      <c r="W421" s="2"/>
    </row>
    <row r="422" spans="18:23" x14ac:dyDescent="0.25">
      <c r="R422"/>
      <c r="W422" s="2"/>
    </row>
    <row r="423" spans="18:23" x14ac:dyDescent="0.25">
      <c r="R423"/>
      <c r="W423" s="2"/>
    </row>
    <row r="424" spans="18:23" x14ac:dyDescent="0.25">
      <c r="R424"/>
      <c r="W424" s="2"/>
    </row>
    <row r="425" spans="18:23" x14ac:dyDescent="0.25">
      <c r="R425"/>
      <c r="W425" s="2"/>
    </row>
    <row r="426" spans="18:23" x14ac:dyDescent="0.25">
      <c r="R426"/>
      <c r="W426" s="2"/>
    </row>
    <row r="427" spans="18:23" x14ac:dyDescent="0.25">
      <c r="R427"/>
      <c r="W427" s="2"/>
    </row>
    <row r="428" spans="18:23" x14ac:dyDescent="0.25">
      <c r="R428"/>
      <c r="W428" s="2"/>
    </row>
    <row r="429" spans="18:23" x14ac:dyDescent="0.25">
      <c r="R429"/>
      <c r="W429" s="2"/>
    </row>
    <row r="430" spans="18:23" x14ac:dyDescent="0.25">
      <c r="R430"/>
      <c r="W430" s="2"/>
    </row>
    <row r="431" spans="18:23" x14ac:dyDescent="0.25">
      <c r="R431"/>
      <c r="W431" s="2"/>
    </row>
    <row r="432" spans="18:23" x14ac:dyDescent="0.25">
      <c r="R432"/>
      <c r="W432" s="2"/>
    </row>
    <row r="433" spans="18:23" x14ac:dyDescent="0.25">
      <c r="R433"/>
      <c r="W433" s="2"/>
    </row>
    <row r="434" spans="18:23" x14ac:dyDescent="0.25">
      <c r="R434"/>
      <c r="W434" s="2"/>
    </row>
    <row r="435" spans="18:23" x14ac:dyDescent="0.25">
      <c r="R435"/>
      <c r="W435" s="2"/>
    </row>
    <row r="436" spans="18:23" x14ac:dyDescent="0.25">
      <c r="R436"/>
      <c r="W436" s="2"/>
    </row>
    <row r="437" spans="18:23" x14ac:dyDescent="0.25">
      <c r="R437"/>
      <c r="W437" s="2"/>
    </row>
    <row r="438" spans="18:23" x14ac:dyDescent="0.25">
      <c r="R438"/>
      <c r="W438" s="2"/>
    </row>
    <row r="439" spans="18:23" x14ac:dyDescent="0.25">
      <c r="R439"/>
      <c r="W439" s="2"/>
    </row>
    <row r="440" spans="18:23" x14ac:dyDescent="0.25">
      <c r="R440"/>
      <c r="W440" s="2"/>
    </row>
    <row r="441" spans="18:23" x14ac:dyDescent="0.25">
      <c r="R441"/>
      <c r="W441" s="2"/>
    </row>
    <row r="442" spans="18:23" x14ac:dyDescent="0.25">
      <c r="R442"/>
      <c r="W442" s="2"/>
    </row>
    <row r="443" spans="18:23" x14ac:dyDescent="0.25">
      <c r="R443"/>
      <c r="W443" s="2"/>
    </row>
    <row r="444" spans="18:23" x14ac:dyDescent="0.25">
      <c r="R444"/>
      <c r="W444" s="2"/>
    </row>
    <row r="445" spans="18:23" x14ac:dyDescent="0.25">
      <c r="R445"/>
      <c r="W445" s="2"/>
    </row>
    <row r="446" spans="18:23" x14ac:dyDescent="0.25">
      <c r="R446"/>
      <c r="W446" s="2"/>
    </row>
    <row r="447" spans="18:23" x14ac:dyDescent="0.25">
      <c r="R447"/>
      <c r="W447" s="2"/>
    </row>
    <row r="448" spans="18:23" x14ac:dyDescent="0.25">
      <c r="R448"/>
      <c r="W448" s="2"/>
    </row>
    <row r="449" spans="18:23" x14ac:dyDescent="0.25">
      <c r="R449"/>
      <c r="W449" s="2"/>
    </row>
    <row r="450" spans="18:23" x14ac:dyDescent="0.25">
      <c r="R450"/>
      <c r="W450" s="2"/>
    </row>
    <row r="451" spans="18:23" x14ac:dyDescent="0.25">
      <c r="R451"/>
      <c r="W451" s="2"/>
    </row>
    <row r="452" spans="18:23" x14ac:dyDescent="0.25">
      <c r="R452"/>
      <c r="W452" s="2"/>
    </row>
    <row r="453" spans="18:23" x14ac:dyDescent="0.25">
      <c r="R453"/>
      <c r="W453" s="2"/>
    </row>
    <row r="454" spans="18:23" x14ac:dyDescent="0.25">
      <c r="R454"/>
      <c r="W454" s="2"/>
    </row>
    <row r="455" spans="18:23" x14ac:dyDescent="0.25">
      <c r="R455"/>
      <c r="W455" s="2"/>
    </row>
    <row r="456" spans="18:23" x14ac:dyDescent="0.25">
      <c r="R456"/>
      <c r="W456" s="2"/>
    </row>
    <row r="457" spans="18:23" x14ac:dyDescent="0.25">
      <c r="R457"/>
      <c r="W457" s="2"/>
    </row>
    <row r="458" spans="18:23" x14ac:dyDescent="0.25">
      <c r="R458"/>
      <c r="W458" s="2"/>
    </row>
    <row r="459" spans="18:23" x14ac:dyDescent="0.25">
      <c r="R459"/>
      <c r="W459" s="2"/>
    </row>
    <row r="460" spans="18:23" x14ac:dyDescent="0.25">
      <c r="R460"/>
      <c r="W460" s="2"/>
    </row>
    <row r="461" spans="18:23" x14ac:dyDescent="0.25">
      <c r="R461"/>
      <c r="W461" s="2"/>
    </row>
    <row r="462" spans="18:23" x14ac:dyDescent="0.25">
      <c r="R462"/>
      <c r="W462" s="2"/>
    </row>
    <row r="463" spans="18:23" x14ac:dyDescent="0.25">
      <c r="R463"/>
      <c r="W463" s="2"/>
    </row>
    <row r="464" spans="18:23" x14ac:dyDescent="0.25">
      <c r="R464"/>
      <c r="W464" s="2"/>
    </row>
    <row r="465" spans="18:23" x14ac:dyDescent="0.25">
      <c r="R465"/>
      <c r="W465" s="2"/>
    </row>
    <row r="466" spans="18:23" x14ac:dyDescent="0.25">
      <c r="R466"/>
      <c r="W466" s="2"/>
    </row>
    <row r="467" spans="18:23" x14ac:dyDescent="0.25">
      <c r="R467"/>
      <c r="W467" s="2"/>
    </row>
    <row r="468" spans="18:23" x14ac:dyDescent="0.25">
      <c r="R468"/>
      <c r="W468" s="2"/>
    </row>
    <row r="469" spans="18:23" x14ac:dyDescent="0.25">
      <c r="R469"/>
      <c r="W469" s="2"/>
    </row>
    <row r="470" spans="18:23" x14ac:dyDescent="0.25">
      <c r="R470"/>
      <c r="W470" s="2"/>
    </row>
    <row r="471" spans="18:23" x14ac:dyDescent="0.25">
      <c r="R471"/>
      <c r="W471" s="2"/>
    </row>
    <row r="472" spans="18:23" x14ac:dyDescent="0.25">
      <c r="R472"/>
      <c r="W472" s="2"/>
    </row>
    <row r="473" spans="18:23" x14ac:dyDescent="0.25">
      <c r="R473"/>
      <c r="W473" s="2"/>
    </row>
    <row r="474" spans="18:23" x14ac:dyDescent="0.25">
      <c r="R474"/>
      <c r="W474" s="2"/>
    </row>
    <row r="475" spans="18:23" x14ac:dyDescent="0.25">
      <c r="R475"/>
      <c r="W475" s="2"/>
    </row>
    <row r="476" spans="18:23" x14ac:dyDescent="0.25">
      <c r="R476"/>
      <c r="W476" s="2"/>
    </row>
    <row r="477" spans="18:23" x14ac:dyDescent="0.25">
      <c r="R477"/>
      <c r="W477" s="2"/>
    </row>
    <row r="478" spans="18:23" x14ac:dyDescent="0.25">
      <c r="R478"/>
      <c r="W478" s="2"/>
    </row>
    <row r="479" spans="18:23" x14ac:dyDescent="0.25">
      <c r="R479"/>
      <c r="W479" s="2"/>
    </row>
    <row r="480" spans="18:23" x14ac:dyDescent="0.25">
      <c r="R480"/>
      <c r="W480" s="2"/>
    </row>
    <row r="481" spans="18:23" x14ac:dyDescent="0.25">
      <c r="R481"/>
      <c r="W481" s="2"/>
    </row>
    <row r="482" spans="18:23" x14ac:dyDescent="0.25">
      <c r="R482"/>
      <c r="W482" s="2"/>
    </row>
    <row r="483" spans="18:23" x14ac:dyDescent="0.25">
      <c r="R483"/>
      <c r="W483" s="2"/>
    </row>
    <row r="484" spans="18:23" x14ac:dyDescent="0.25">
      <c r="R484"/>
      <c r="W484" s="2"/>
    </row>
    <row r="485" spans="18:23" x14ac:dyDescent="0.25">
      <c r="R485"/>
      <c r="W485" s="2"/>
    </row>
    <row r="486" spans="18:23" x14ac:dyDescent="0.25">
      <c r="R486"/>
      <c r="W486" s="2"/>
    </row>
    <row r="487" spans="18:23" x14ac:dyDescent="0.25">
      <c r="R487"/>
      <c r="W487" s="2"/>
    </row>
    <row r="488" spans="18:23" x14ac:dyDescent="0.25">
      <c r="R488"/>
      <c r="W488" s="2"/>
    </row>
    <row r="489" spans="18:23" x14ac:dyDescent="0.25">
      <c r="R489"/>
      <c r="W489" s="2"/>
    </row>
    <row r="490" spans="18:23" x14ac:dyDescent="0.25">
      <c r="R490"/>
      <c r="W490" s="2"/>
    </row>
    <row r="491" spans="18:23" x14ac:dyDescent="0.25">
      <c r="R491"/>
      <c r="W491" s="2"/>
    </row>
    <row r="492" spans="18:23" x14ac:dyDescent="0.25">
      <c r="R492"/>
      <c r="W492" s="2"/>
    </row>
    <row r="493" spans="18:23" x14ac:dyDescent="0.25">
      <c r="R493"/>
      <c r="W493" s="2"/>
    </row>
    <row r="494" spans="18:23" x14ac:dyDescent="0.25">
      <c r="R494"/>
      <c r="W494" s="2"/>
    </row>
    <row r="495" spans="18:23" x14ac:dyDescent="0.25">
      <c r="R495"/>
      <c r="W495" s="2"/>
    </row>
    <row r="496" spans="18:23" x14ac:dyDescent="0.25">
      <c r="R496"/>
      <c r="W496" s="2"/>
    </row>
    <row r="497" spans="18:23" x14ac:dyDescent="0.25">
      <c r="R497"/>
      <c r="W497" s="2"/>
    </row>
    <row r="498" spans="18:23" x14ac:dyDescent="0.25">
      <c r="R498"/>
      <c r="W498" s="2"/>
    </row>
    <row r="499" spans="18:23" x14ac:dyDescent="0.25">
      <c r="R499"/>
      <c r="W499" s="2"/>
    </row>
    <row r="500" spans="18:23" x14ac:dyDescent="0.25">
      <c r="R500"/>
      <c r="W500" s="2"/>
    </row>
    <row r="501" spans="18:23" x14ac:dyDescent="0.25">
      <c r="R501"/>
      <c r="W501" s="2"/>
    </row>
    <row r="502" spans="18:23" x14ac:dyDescent="0.25">
      <c r="R502"/>
      <c r="W502" s="2"/>
    </row>
    <row r="503" spans="18:23" x14ac:dyDescent="0.25">
      <c r="R503"/>
      <c r="W503" s="2"/>
    </row>
    <row r="504" spans="18:23" x14ac:dyDescent="0.25">
      <c r="R504"/>
      <c r="W504" s="2"/>
    </row>
    <row r="505" spans="18:23" x14ac:dyDescent="0.25">
      <c r="R505"/>
      <c r="W505" s="2"/>
    </row>
    <row r="506" spans="18:23" x14ac:dyDescent="0.25">
      <c r="R506"/>
      <c r="W506" s="2"/>
    </row>
    <row r="507" spans="18:23" x14ac:dyDescent="0.25">
      <c r="R507"/>
      <c r="W507" s="2"/>
    </row>
    <row r="508" spans="18:23" x14ac:dyDescent="0.25">
      <c r="R508"/>
      <c r="W508" s="2"/>
    </row>
    <row r="509" spans="18:23" x14ac:dyDescent="0.25">
      <c r="R509"/>
      <c r="W509" s="2"/>
    </row>
    <row r="510" spans="18:23" x14ac:dyDescent="0.25">
      <c r="R510"/>
      <c r="W510" s="2"/>
    </row>
    <row r="511" spans="18:23" x14ac:dyDescent="0.25">
      <c r="R511"/>
      <c r="W511" s="2"/>
    </row>
    <row r="512" spans="18:23" x14ac:dyDescent="0.25">
      <c r="R512"/>
      <c r="W512" s="2"/>
    </row>
    <row r="513" spans="18:23" x14ac:dyDescent="0.25">
      <c r="R513"/>
      <c r="W513" s="2"/>
    </row>
    <row r="514" spans="18:23" x14ac:dyDescent="0.25">
      <c r="R514"/>
      <c r="W514" s="2"/>
    </row>
    <row r="515" spans="18:23" x14ac:dyDescent="0.25">
      <c r="R515"/>
      <c r="W515" s="2"/>
    </row>
    <row r="516" spans="18:23" x14ac:dyDescent="0.25">
      <c r="R516"/>
      <c r="W516" s="2"/>
    </row>
    <row r="517" spans="18:23" x14ac:dyDescent="0.25">
      <c r="R517"/>
      <c r="W517" s="2"/>
    </row>
    <row r="518" spans="18:23" x14ac:dyDescent="0.25">
      <c r="R518"/>
      <c r="W518" s="2"/>
    </row>
    <row r="519" spans="18:23" x14ac:dyDescent="0.25">
      <c r="R519"/>
      <c r="W519" s="2"/>
    </row>
    <row r="520" spans="18:23" x14ac:dyDescent="0.25">
      <c r="R520"/>
      <c r="W520" s="2"/>
    </row>
    <row r="521" spans="18:23" x14ac:dyDescent="0.25">
      <c r="R521"/>
      <c r="W521" s="2"/>
    </row>
    <row r="522" spans="18:23" x14ac:dyDescent="0.25">
      <c r="R522"/>
      <c r="W522" s="2"/>
    </row>
    <row r="523" spans="18:23" x14ac:dyDescent="0.25">
      <c r="R523"/>
      <c r="W523" s="2"/>
    </row>
    <row r="524" spans="18:23" x14ac:dyDescent="0.25">
      <c r="R524"/>
      <c r="W524" s="2"/>
    </row>
    <row r="525" spans="18:23" x14ac:dyDescent="0.25">
      <c r="R525"/>
      <c r="W525" s="2"/>
    </row>
    <row r="526" spans="18:23" x14ac:dyDescent="0.25">
      <c r="R526"/>
      <c r="W526" s="2"/>
    </row>
    <row r="527" spans="18:23" x14ac:dyDescent="0.25">
      <c r="R527"/>
      <c r="W527" s="2"/>
    </row>
    <row r="528" spans="18:23" x14ac:dyDescent="0.25">
      <c r="R528"/>
      <c r="W528" s="2"/>
    </row>
    <row r="529" spans="18:23" x14ac:dyDescent="0.25">
      <c r="R529"/>
      <c r="W529" s="2"/>
    </row>
    <row r="530" spans="18:23" x14ac:dyDescent="0.25">
      <c r="R530"/>
      <c r="W530" s="2"/>
    </row>
    <row r="531" spans="18:23" x14ac:dyDescent="0.25">
      <c r="R531"/>
      <c r="W531" s="2"/>
    </row>
    <row r="532" spans="18:23" x14ac:dyDescent="0.25">
      <c r="R532"/>
      <c r="W532" s="2"/>
    </row>
    <row r="533" spans="18:23" x14ac:dyDescent="0.25">
      <c r="R533"/>
      <c r="W533" s="2"/>
    </row>
    <row r="534" spans="18:23" x14ac:dyDescent="0.25">
      <c r="R534"/>
      <c r="W534" s="2"/>
    </row>
    <row r="535" spans="18:23" x14ac:dyDescent="0.25">
      <c r="R535"/>
      <c r="W535" s="2"/>
    </row>
    <row r="536" spans="18:23" x14ac:dyDescent="0.25">
      <c r="R536"/>
      <c r="W536" s="2"/>
    </row>
    <row r="537" spans="18:23" x14ac:dyDescent="0.25">
      <c r="R537"/>
      <c r="W537" s="2"/>
    </row>
    <row r="538" spans="18:23" x14ac:dyDescent="0.25">
      <c r="R538"/>
      <c r="W538" s="2"/>
    </row>
    <row r="539" spans="18:23" x14ac:dyDescent="0.25">
      <c r="R539"/>
      <c r="W539" s="2"/>
    </row>
    <row r="540" spans="18:23" x14ac:dyDescent="0.25">
      <c r="R540"/>
      <c r="W540" s="2"/>
    </row>
    <row r="541" spans="18:23" x14ac:dyDescent="0.25">
      <c r="R541"/>
      <c r="W541" s="2"/>
    </row>
    <row r="542" spans="18:23" x14ac:dyDescent="0.25">
      <c r="R542"/>
      <c r="W542" s="2"/>
    </row>
    <row r="543" spans="18:23" x14ac:dyDescent="0.25">
      <c r="R543"/>
      <c r="W543" s="2"/>
    </row>
    <row r="544" spans="18:23" x14ac:dyDescent="0.25">
      <c r="R544"/>
      <c r="W544" s="2"/>
    </row>
    <row r="545" spans="18:23" x14ac:dyDescent="0.25">
      <c r="R545"/>
      <c r="W545" s="2"/>
    </row>
    <row r="546" spans="18:23" x14ac:dyDescent="0.25">
      <c r="R546"/>
      <c r="W546" s="2"/>
    </row>
    <row r="547" spans="18:23" x14ac:dyDescent="0.25">
      <c r="R547"/>
      <c r="W547" s="2"/>
    </row>
    <row r="548" spans="18:23" x14ac:dyDescent="0.25">
      <c r="R548"/>
      <c r="W548" s="2"/>
    </row>
    <row r="549" spans="18:23" x14ac:dyDescent="0.25">
      <c r="R549"/>
      <c r="W549" s="2"/>
    </row>
    <row r="550" spans="18:23" x14ac:dyDescent="0.25">
      <c r="R550"/>
      <c r="W550" s="2"/>
    </row>
    <row r="551" spans="18:23" x14ac:dyDescent="0.25">
      <c r="R551"/>
      <c r="W551" s="2"/>
    </row>
    <row r="552" spans="18:23" x14ac:dyDescent="0.25">
      <c r="R552"/>
      <c r="W552" s="2"/>
    </row>
    <row r="553" spans="18:23" x14ac:dyDescent="0.25">
      <c r="R553"/>
      <c r="W553" s="2"/>
    </row>
    <row r="554" spans="18:23" x14ac:dyDescent="0.25">
      <c r="R554"/>
      <c r="W554" s="2"/>
    </row>
    <row r="555" spans="18:23" x14ac:dyDescent="0.25">
      <c r="R555"/>
      <c r="W555" s="2"/>
    </row>
    <row r="556" spans="18:23" x14ac:dyDescent="0.25">
      <c r="R556"/>
      <c r="W556" s="2"/>
    </row>
    <row r="557" spans="18:23" x14ac:dyDescent="0.25">
      <c r="R557"/>
      <c r="W557" s="2"/>
    </row>
    <row r="558" spans="18:23" x14ac:dyDescent="0.25">
      <c r="R558"/>
      <c r="W558" s="2"/>
    </row>
    <row r="559" spans="18:23" x14ac:dyDescent="0.25">
      <c r="R559"/>
      <c r="W559" s="2"/>
    </row>
    <row r="560" spans="18:23" x14ac:dyDescent="0.25">
      <c r="R560"/>
      <c r="W560" s="2"/>
    </row>
    <row r="561" spans="18:23" x14ac:dyDescent="0.25">
      <c r="R561"/>
      <c r="W561" s="2"/>
    </row>
    <row r="562" spans="18:23" x14ac:dyDescent="0.25">
      <c r="R562"/>
      <c r="W562" s="2"/>
    </row>
    <row r="563" spans="18:23" x14ac:dyDescent="0.25">
      <c r="R563"/>
      <c r="W563" s="2"/>
    </row>
    <row r="564" spans="18:23" x14ac:dyDescent="0.25">
      <c r="R564"/>
      <c r="W564" s="2"/>
    </row>
    <row r="565" spans="18:23" x14ac:dyDescent="0.25">
      <c r="R565"/>
      <c r="W565" s="2"/>
    </row>
    <row r="566" spans="18:23" x14ac:dyDescent="0.25">
      <c r="R566"/>
      <c r="W566" s="2"/>
    </row>
    <row r="567" spans="18:23" x14ac:dyDescent="0.25">
      <c r="R567"/>
      <c r="W567" s="2"/>
    </row>
    <row r="568" spans="18:23" x14ac:dyDescent="0.25">
      <c r="R568"/>
      <c r="W568" s="2"/>
    </row>
    <row r="569" spans="18:23" x14ac:dyDescent="0.25">
      <c r="R569"/>
      <c r="W569" s="2"/>
    </row>
    <row r="570" spans="18:23" x14ac:dyDescent="0.25">
      <c r="R570"/>
      <c r="W570" s="2"/>
    </row>
    <row r="571" spans="18:23" x14ac:dyDescent="0.25">
      <c r="R571"/>
      <c r="W571" s="2"/>
    </row>
    <row r="572" spans="18:23" x14ac:dyDescent="0.25">
      <c r="R572"/>
      <c r="W572" s="2"/>
    </row>
    <row r="573" spans="18:23" x14ac:dyDescent="0.25">
      <c r="R573"/>
      <c r="W573" s="2"/>
    </row>
    <row r="574" spans="18:23" x14ac:dyDescent="0.25">
      <c r="R574"/>
      <c r="W574" s="2"/>
    </row>
    <row r="575" spans="18:23" x14ac:dyDescent="0.25">
      <c r="R575"/>
      <c r="W575" s="2"/>
    </row>
    <row r="576" spans="18:23" x14ac:dyDescent="0.25">
      <c r="R576"/>
      <c r="W576" s="2"/>
    </row>
    <row r="577" spans="18:23" x14ac:dyDescent="0.25">
      <c r="R577"/>
      <c r="W577" s="2"/>
    </row>
    <row r="578" spans="18:23" x14ac:dyDescent="0.25">
      <c r="R578"/>
      <c r="W578" s="2"/>
    </row>
    <row r="579" spans="18:23" x14ac:dyDescent="0.25">
      <c r="R579"/>
      <c r="W579" s="2"/>
    </row>
    <row r="580" spans="18:23" x14ac:dyDescent="0.25">
      <c r="R580"/>
      <c r="W580" s="2"/>
    </row>
    <row r="581" spans="18:23" x14ac:dyDescent="0.25">
      <c r="R581"/>
      <c r="W581" s="2"/>
    </row>
    <row r="582" spans="18:23" x14ac:dyDescent="0.25">
      <c r="R582"/>
      <c r="W582" s="2"/>
    </row>
    <row r="583" spans="18:23" x14ac:dyDescent="0.25">
      <c r="R583"/>
      <c r="W583" s="2"/>
    </row>
    <row r="584" spans="18:23" x14ac:dyDescent="0.25">
      <c r="R584"/>
      <c r="W584" s="2"/>
    </row>
    <row r="585" spans="18:23" x14ac:dyDescent="0.25">
      <c r="R585"/>
      <c r="W585" s="2"/>
    </row>
    <row r="586" spans="18:23" x14ac:dyDescent="0.25">
      <c r="R586"/>
      <c r="W586" s="2"/>
    </row>
    <row r="587" spans="18:23" x14ac:dyDescent="0.25">
      <c r="R587"/>
      <c r="W587" s="2"/>
    </row>
    <row r="588" spans="18:23" x14ac:dyDescent="0.25">
      <c r="R588"/>
      <c r="W588" s="2"/>
    </row>
    <row r="589" spans="18:23" x14ac:dyDescent="0.25">
      <c r="R589"/>
      <c r="W589" s="2"/>
    </row>
    <row r="590" spans="18:23" x14ac:dyDescent="0.25">
      <c r="R590"/>
      <c r="W590" s="2"/>
    </row>
    <row r="591" spans="18:23" x14ac:dyDescent="0.25">
      <c r="R591"/>
      <c r="W591" s="2"/>
    </row>
    <row r="592" spans="18:23" x14ac:dyDescent="0.25">
      <c r="R592"/>
      <c r="W592" s="2"/>
    </row>
    <row r="593" spans="18:23" x14ac:dyDescent="0.25">
      <c r="R593"/>
      <c r="W593" s="2"/>
    </row>
    <row r="594" spans="18:23" x14ac:dyDescent="0.25">
      <c r="R594"/>
      <c r="W594" s="2"/>
    </row>
    <row r="595" spans="18:23" x14ac:dyDescent="0.25">
      <c r="R595"/>
      <c r="W595" s="2"/>
    </row>
    <row r="596" spans="18:23" x14ac:dyDescent="0.25">
      <c r="R596"/>
      <c r="W596" s="2"/>
    </row>
    <row r="597" spans="18:23" x14ac:dyDescent="0.25">
      <c r="R597"/>
      <c r="W597" s="2"/>
    </row>
    <row r="598" spans="18:23" x14ac:dyDescent="0.25">
      <c r="R598"/>
      <c r="W598" s="2"/>
    </row>
    <row r="599" spans="18:23" x14ac:dyDescent="0.25">
      <c r="R599"/>
      <c r="W599" s="2"/>
    </row>
    <row r="600" spans="18:23" x14ac:dyDescent="0.25">
      <c r="R600"/>
      <c r="W600" s="2"/>
    </row>
    <row r="601" spans="18:23" x14ac:dyDescent="0.25">
      <c r="R601"/>
      <c r="W601" s="2"/>
    </row>
    <row r="602" spans="18:23" x14ac:dyDescent="0.25">
      <c r="R602"/>
      <c r="W602" s="2"/>
    </row>
    <row r="603" spans="18:23" x14ac:dyDescent="0.25">
      <c r="R603"/>
      <c r="W603" s="2"/>
    </row>
    <row r="604" spans="18:23" x14ac:dyDescent="0.25">
      <c r="R604"/>
      <c r="W604" s="2"/>
    </row>
    <row r="605" spans="18:23" x14ac:dyDescent="0.25">
      <c r="R605"/>
      <c r="W605" s="2"/>
    </row>
    <row r="606" spans="18:23" x14ac:dyDescent="0.25">
      <c r="R606"/>
      <c r="W606" s="2"/>
    </row>
    <row r="607" spans="18:23" x14ac:dyDescent="0.25">
      <c r="R607"/>
      <c r="W607" s="2"/>
    </row>
    <row r="608" spans="18:23" x14ac:dyDescent="0.25">
      <c r="R608"/>
      <c r="W608" s="2"/>
    </row>
    <row r="609" spans="18:23" x14ac:dyDescent="0.25">
      <c r="R609"/>
      <c r="W609" s="2"/>
    </row>
    <row r="610" spans="18:23" x14ac:dyDescent="0.25">
      <c r="R610"/>
      <c r="W610" s="2"/>
    </row>
    <row r="611" spans="18:23" x14ac:dyDescent="0.25">
      <c r="R611"/>
      <c r="W611" s="2"/>
    </row>
    <row r="612" spans="18:23" x14ac:dyDescent="0.25">
      <c r="R612"/>
      <c r="W612" s="2"/>
    </row>
    <row r="613" spans="18:23" x14ac:dyDescent="0.25">
      <c r="R613"/>
      <c r="W613" s="2"/>
    </row>
    <row r="614" spans="18:23" x14ac:dyDescent="0.25">
      <c r="R614"/>
      <c r="W614" s="2"/>
    </row>
    <row r="615" spans="18:23" x14ac:dyDescent="0.25">
      <c r="R615"/>
      <c r="W615" s="2"/>
    </row>
    <row r="616" spans="18:23" x14ac:dyDescent="0.25">
      <c r="R616"/>
      <c r="W616" s="2"/>
    </row>
    <row r="617" spans="18:23" x14ac:dyDescent="0.25">
      <c r="R617"/>
      <c r="W617" s="2"/>
    </row>
    <row r="618" spans="18:23" x14ac:dyDescent="0.25">
      <c r="R618"/>
      <c r="W618" s="2"/>
    </row>
    <row r="619" spans="18:23" x14ac:dyDescent="0.25">
      <c r="R619"/>
      <c r="W619" s="2"/>
    </row>
    <row r="620" spans="18:23" x14ac:dyDescent="0.25">
      <c r="R620"/>
      <c r="W620" s="2"/>
    </row>
    <row r="621" spans="18:23" x14ac:dyDescent="0.25">
      <c r="R621"/>
      <c r="W621" s="2"/>
    </row>
    <row r="622" spans="18:23" x14ac:dyDescent="0.25">
      <c r="R622"/>
      <c r="W622" s="2"/>
    </row>
    <row r="623" spans="18:23" x14ac:dyDescent="0.25">
      <c r="R623"/>
      <c r="W623" s="2"/>
    </row>
    <row r="624" spans="18:23" x14ac:dyDescent="0.25">
      <c r="R624"/>
      <c r="W624" s="2"/>
    </row>
    <row r="625" spans="18:23" x14ac:dyDescent="0.25">
      <c r="R625"/>
      <c r="W625" s="2"/>
    </row>
    <row r="626" spans="18:23" x14ac:dyDescent="0.25">
      <c r="R626"/>
      <c r="W626" s="2"/>
    </row>
    <row r="627" spans="18:23" x14ac:dyDescent="0.25">
      <c r="R627"/>
      <c r="W627" s="2"/>
    </row>
    <row r="628" spans="18:23" x14ac:dyDescent="0.25">
      <c r="R628"/>
      <c r="W628" s="2"/>
    </row>
    <row r="629" spans="18:23" x14ac:dyDescent="0.25">
      <c r="R629"/>
      <c r="W629" s="2"/>
    </row>
    <row r="630" spans="18:23" x14ac:dyDescent="0.25">
      <c r="R630"/>
      <c r="W630" s="2"/>
    </row>
    <row r="631" spans="18:23" x14ac:dyDescent="0.25">
      <c r="R631"/>
      <c r="W631" s="2"/>
    </row>
    <row r="632" spans="18:23" x14ac:dyDescent="0.25">
      <c r="R632"/>
      <c r="W632" s="2"/>
    </row>
    <row r="633" spans="18:23" x14ac:dyDescent="0.25">
      <c r="R633"/>
      <c r="W633" s="2"/>
    </row>
    <row r="634" spans="18:23" x14ac:dyDescent="0.25">
      <c r="R634"/>
      <c r="W634" s="2"/>
    </row>
    <row r="635" spans="18:23" x14ac:dyDescent="0.25">
      <c r="R635"/>
      <c r="W635" s="2"/>
    </row>
    <row r="636" spans="18:23" x14ac:dyDescent="0.25">
      <c r="R636"/>
      <c r="W636" s="2"/>
    </row>
    <row r="637" spans="18:23" x14ac:dyDescent="0.25">
      <c r="R637"/>
      <c r="W637" s="2"/>
    </row>
    <row r="638" spans="18:23" x14ac:dyDescent="0.25">
      <c r="R638"/>
      <c r="W638" s="2"/>
    </row>
    <row r="639" spans="18:23" x14ac:dyDescent="0.25">
      <c r="R639"/>
      <c r="W639" s="2"/>
    </row>
    <row r="640" spans="18:23" x14ac:dyDescent="0.25">
      <c r="R640"/>
      <c r="W640" s="2"/>
    </row>
    <row r="641" spans="18:23" x14ac:dyDescent="0.25">
      <c r="R641"/>
      <c r="W641" s="2"/>
    </row>
    <row r="642" spans="18:23" x14ac:dyDescent="0.25">
      <c r="R642"/>
      <c r="W642" s="2"/>
    </row>
    <row r="643" spans="18:23" x14ac:dyDescent="0.25">
      <c r="R643"/>
      <c r="W643" s="2"/>
    </row>
    <row r="644" spans="18:23" x14ac:dyDescent="0.25">
      <c r="R644"/>
      <c r="W644" s="2"/>
    </row>
    <row r="645" spans="18:23" x14ac:dyDescent="0.25">
      <c r="R645"/>
      <c r="W645" s="2"/>
    </row>
    <row r="646" spans="18:23" x14ac:dyDescent="0.25">
      <c r="R646"/>
      <c r="W646" s="2"/>
    </row>
    <row r="647" spans="18:23" x14ac:dyDescent="0.25">
      <c r="R647"/>
      <c r="W647" s="2"/>
    </row>
    <row r="648" spans="18:23" x14ac:dyDescent="0.25">
      <c r="R648"/>
      <c r="W648" s="2"/>
    </row>
    <row r="649" spans="18:23" x14ac:dyDescent="0.25">
      <c r="R649"/>
      <c r="W649" s="2"/>
    </row>
    <row r="650" spans="18:23" x14ac:dyDescent="0.25">
      <c r="R650"/>
      <c r="W650" s="2"/>
    </row>
    <row r="651" spans="18:23" x14ac:dyDescent="0.25">
      <c r="R651"/>
      <c r="W651" s="2"/>
    </row>
    <row r="652" spans="18:23" x14ac:dyDescent="0.25">
      <c r="R652"/>
      <c r="W652" s="2"/>
    </row>
    <row r="653" spans="18:23" x14ac:dyDescent="0.25">
      <c r="R653"/>
      <c r="W653" s="2"/>
    </row>
    <row r="654" spans="18:23" x14ac:dyDescent="0.25">
      <c r="R654"/>
      <c r="W654" s="2"/>
    </row>
    <row r="655" spans="18:23" x14ac:dyDescent="0.25">
      <c r="R655"/>
      <c r="W655" s="2"/>
    </row>
    <row r="656" spans="18:23" x14ac:dyDescent="0.25">
      <c r="R656"/>
      <c r="W656" s="2"/>
    </row>
    <row r="657" spans="18:23" x14ac:dyDescent="0.25">
      <c r="R657"/>
      <c r="W657" s="2"/>
    </row>
    <row r="658" spans="18:23" x14ac:dyDescent="0.25">
      <c r="R658"/>
      <c r="W658" s="2"/>
    </row>
    <row r="659" spans="18:23" x14ac:dyDescent="0.25">
      <c r="R659"/>
      <c r="W659" s="2"/>
    </row>
    <row r="660" spans="18:23" x14ac:dyDescent="0.25">
      <c r="R660"/>
      <c r="W660" s="2"/>
    </row>
    <row r="661" spans="18:23" x14ac:dyDescent="0.25">
      <c r="R661"/>
      <c r="W661" s="2"/>
    </row>
    <row r="662" spans="18:23" x14ac:dyDescent="0.25">
      <c r="R662"/>
      <c r="W662" s="2"/>
    </row>
    <row r="663" spans="18:23" x14ac:dyDescent="0.25">
      <c r="R663"/>
      <c r="W663" s="2"/>
    </row>
    <row r="664" spans="18:23" x14ac:dyDescent="0.25">
      <c r="R664"/>
      <c r="W664" s="2"/>
    </row>
    <row r="665" spans="18:23" x14ac:dyDescent="0.25">
      <c r="R665"/>
      <c r="W665" s="2"/>
    </row>
    <row r="666" spans="18:23" x14ac:dyDescent="0.25">
      <c r="R666"/>
      <c r="W666" s="2"/>
    </row>
    <row r="667" spans="18:23" x14ac:dyDescent="0.25">
      <c r="R667"/>
      <c r="W667" s="2"/>
    </row>
    <row r="668" spans="18:23" x14ac:dyDescent="0.25">
      <c r="R668"/>
      <c r="W668" s="2"/>
    </row>
    <row r="669" spans="18:23" x14ac:dyDescent="0.25">
      <c r="R669"/>
      <c r="W669" s="2"/>
    </row>
    <row r="670" spans="18:23" x14ac:dyDescent="0.25">
      <c r="R670"/>
      <c r="W670" s="2"/>
    </row>
    <row r="671" spans="18:23" x14ac:dyDescent="0.25">
      <c r="R671"/>
      <c r="W671" s="2"/>
    </row>
    <row r="672" spans="18:23" x14ac:dyDescent="0.25">
      <c r="R672"/>
      <c r="W672" s="2"/>
    </row>
    <row r="673" spans="18:23" x14ac:dyDescent="0.25">
      <c r="R673"/>
      <c r="W673" s="2"/>
    </row>
    <row r="674" spans="18:23" x14ac:dyDescent="0.25">
      <c r="R674"/>
      <c r="W674" s="2"/>
    </row>
    <row r="675" spans="18:23" x14ac:dyDescent="0.25">
      <c r="R675"/>
      <c r="W675" s="2"/>
    </row>
    <row r="676" spans="18:23" x14ac:dyDescent="0.25">
      <c r="R676"/>
      <c r="W676" s="2"/>
    </row>
    <row r="677" spans="18:23" x14ac:dyDescent="0.25">
      <c r="R677"/>
      <c r="W677" s="2"/>
    </row>
    <row r="678" spans="18:23" x14ac:dyDescent="0.25">
      <c r="R678"/>
      <c r="W678" s="2"/>
    </row>
    <row r="679" spans="18:23" x14ac:dyDescent="0.25">
      <c r="R679"/>
      <c r="W679" s="2"/>
    </row>
    <row r="680" spans="18:23" x14ac:dyDescent="0.25">
      <c r="R680"/>
      <c r="W680" s="2"/>
    </row>
    <row r="681" spans="18:23" x14ac:dyDescent="0.25">
      <c r="R681"/>
      <c r="W681" s="2"/>
    </row>
    <row r="682" spans="18:23" x14ac:dyDescent="0.25">
      <c r="R682"/>
      <c r="W682" s="2"/>
    </row>
    <row r="683" spans="18:23" x14ac:dyDescent="0.25">
      <c r="R683"/>
      <c r="W683" s="2"/>
    </row>
    <row r="684" spans="18:23" x14ac:dyDescent="0.25">
      <c r="R684"/>
      <c r="W684" s="2"/>
    </row>
    <row r="685" spans="18:23" x14ac:dyDescent="0.25">
      <c r="R685"/>
      <c r="W685" s="2"/>
    </row>
    <row r="686" spans="18:23" x14ac:dyDescent="0.25">
      <c r="R686"/>
      <c r="W686" s="2"/>
    </row>
    <row r="687" spans="18:23" x14ac:dyDescent="0.25">
      <c r="R687"/>
      <c r="W687" s="2"/>
    </row>
    <row r="688" spans="18:23" x14ac:dyDescent="0.25">
      <c r="R688"/>
      <c r="W688" s="2"/>
    </row>
    <row r="689" spans="18:23" x14ac:dyDescent="0.25">
      <c r="R689"/>
      <c r="W689" s="2"/>
    </row>
    <row r="690" spans="18:23" x14ac:dyDescent="0.25">
      <c r="R690"/>
      <c r="W690" s="2"/>
    </row>
    <row r="691" spans="18:23" x14ac:dyDescent="0.25">
      <c r="R691"/>
      <c r="W691" s="2"/>
    </row>
    <row r="692" spans="18:23" x14ac:dyDescent="0.25">
      <c r="R692"/>
      <c r="W692" s="2"/>
    </row>
    <row r="693" spans="18:23" x14ac:dyDescent="0.25">
      <c r="R693"/>
      <c r="W693" s="2"/>
    </row>
    <row r="694" spans="18:23" x14ac:dyDescent="0.25">
      <c r="R694"/>
      <c r="W694" s="2"/>
    </row>
    <row r="695" spans="18:23" x14ac:dyDescent="0.25">
      <c r="R695"/>
      <c r="W695" s="2"/>
    </row>
    <row r="696" spans="18:23" x14ac:dyDescent="0.25">
      <c r="R696"/>
      <c r="W696" s="2"/>
    </row>
    <row r="697" spans="18:23" x14ac:dyDescent="0.25">
      <c r="R697"/>
      <c r="W697" s="2"/>
    </row>
    <row r="698" spans="18:23" x14ac:dyDescent="0.25">
      <c r="R698"/>
      <c r="W698" s="2"/>
    </row>
    <row r="699" spans="18:23" x14ac:dyDescent="0.25">
      <c r="R699"/>
      <c r="W699" s="2"/>
    </row>
    <row r="700" spans="18:23" x14ac:dyDescent="0.25">
      <c r="R700"/>
      <c r="W700" s="2"/>
    </row>
    <row r="701" spans="18:23" x14ac:dyDescent="0.25">
      <c r="R701"/>
      <c r="W701" s="2"/>
    </row>
    <row r="702" spans="18:23" x14ac:dyDescent="0.25">
      <c r="R702"/>
      <c r="W702" s="2"/>
    </row>
    <row r="703" spans="18:23" x14ac:dyDescent="0.25">
      <c r="R703"/>
      <c r="W703" s="2"/>
    </row>
    <row r="704" spans="18:23" x14ac:dyDescent="0.25">
      <c r="R704"/>
      <c r="W704" s="2"/>
    </row>
    <row r="705" spans="18:23" x14ac:dyDescent="0.25">
      <c r="R705"/>
      <c r="W705" s="2"/>
    </row>
    <row r="706" spans="18:23" x14ac:dyDescent="0.25">
      <c r="R706"/>
      <c r="W706" s="2"/>
    </row>
    <row r="707" spans="18:23" x14ac:dyDescent="0.25">
      <c r="R707"/>
      <c r="W707" s="2"/>
    </row>
    <row r="708" spans="18:23" x14ac:dyDescent="0.25">
      <c r="R708"/>
      <c r="W708" s="2"/>
    </row>
    <row r="709" spans="18:23" x14ac:dyDescent="0.25">
      <c r="R709"/>
      <c r="W709" s="2"/>
    </row>
    <row r="710" spans="18:23" x14ac:dyDescent="0.25">
      <c r="R710"/>
      <c r="W710" s="2"/>
    </row>
    <row r="711" spans="18:23" x14ac:dyDescent="0.25">
      <c r="R711"/>
      <c r="W711" s="2"/>
    </row>
    <row r="712" spans="18:23" x14ac:dyDescent="0.25">
      <c r="R712"/>
      <c r="W712" s="2"/>
    </row>
    <row r="713" spans="18:23" x14ac:dyDescent="0.25">
      <c r="R713"/>
      <c r="W713" s="2"/>
    </row>
    <row r="714" spans="18:23" x14ac:dyDescent="0.25">
      <c r="R714"/>
      <c r="W714" s="2"/>
    </row>
    <row r="715" spans="18:23" x14ac:dyDescent="0.25">
      <c r="R715"/>
      <c r="W715" s="2"/>
    </row>
    <row r="716" spans="18:23" x14ac:dyDescent="0.25">
      <c r="R716"/>
      <c r="W716" s="2"/>
    </row>
    <row r="717" spans="18:23" x14ac:dyDescent="0.25">
      <c r="R717"/>
      <c r="W717" s="2"/>
    </row>
    <row r="718" spans="18:23" x14ac:dyDescent="0.25">
      <c r="R718"/>
      <c r="W718" s="2"/>
    </row>
    <row r="719" spans="18:23" x14ac:dyDescent="0.25">
      <c r="R719"/>
      <c r="W719" s="2"/>
    </row>
    <row r="720" spans="18:23" x14ac:dyDescent="0.25">
      <c r="R720"/>
      <c r="W720" s="2"/>
    </row>
    <row r="721" spans="18:23" x14ac:dyDescent="0.25">
      <c r="R721"/>
      <c r="W721" s="2"/>
    </row>
    <row r="722" spans="18:23" x14ac:dyDescent="0.25">
      <c r="R722"/>
      <c r="W722" s="2"/>
    </row>
    <row r="723" spans="18:23" x14ac:dyDescent="0.25">
      <c r="R723"/>
      <c r="W723" s="2"/>
    </row>
    <row r="724" spans="18:23" x14ac:dyDescent="0.25">
      <c r="R724"/>
      <c r="W724" s="2"/>
    </row>
    <row r="725" spans="18:23" x14ac:dyDescent="0.25">
      <c r="R725"/>
      <c r="W725" s="2"/>
    </row>
    <row r="726" spans="18:23" x14ac:dyDescent="0.25">
      <c r="R726"/>
      <c r="W726" s="2"/>
    </row>
    <row r="727" spans="18:23" x14ac:dyDescent="0.25">
      <c r="R727"/>
      <c r="W727" s="2"/>
    </row>
    <row r="728" spans="18:23" x14ac:dyDescent="0.25">
      <c r="R728"/>
      <c r="W728" s="2"/>
    </row>
    <row r="729" spans="18:23" x14ac:dyDescent="0.25">
      <c r="R729"/>
      <c r="W729" s="2"/>
    </row>
    <row r="730" spans="18:23" x14ac:dyDescent="0.25">
      <c r="R730"/>
      <c r="W730" s="2"/>
    </row>
    <row r="731" spans="18:23" x14ac:dyDescent="0.25">
      <c r="R731"/>
      <c r="W731" s="2"/>
    </row>
    <row r="732" spans="18:23" x14ac:dyDescent="0.25">
      <c r="R732"/>
      <c r="W732" s="2"/>
    </row>
    <row r="733" spans="18:23" x14ac:dyDescent="0.25">
      <c r="R733"/>
      <c r="W733" s="2"/>
    </row>
    <row r="734" spans="18:23" x14ac:dyDescent="0.25">
      <c r="R734"/>
      <c r="W734" s="2"/>
    </row>
    <row r="735" spans="18:23" x14ac:dyDescent="0.25">
      <c r="R735"/>
      <c r="W735" s="2"/>
    </row>
    <row r="736" spans="18:23" x14ac:dyDescent="0.25">
      <c r="R736"/>
      <c r="W736" s="2"/>
    </row>
    <row r="737" spans="18:23" x14ac:dyDescent="0.25">
      <c r="R737"/>
      <c r="W737" s="2"/>
    </row>
    <row r="738" spans="18:23" x14ac:dyDescent="0.25">
      <c r="R738"/>
      <c r="W738" s="2"/>
    </row>
    <row r="739" spans="18:23" x14ac:dyDescent="0.25">
      <c r="R739"/>
      <c r="W739" s="2"/>
    </row>
    <row r="740" spans="18:23" x14ac:dyDescent="0.25">
      <c r="R740"/>
      <c r="W740" s="2"/>
    </row>
    <row r="741" spans="18:23" x14ac:dyDescent="0.25">
      <c r="R741"/>
      <c r="W741" s="2"/>
    </row>
    <row r="742" spans="18:23" x14ac:dyDescent="0.25">
      <c r="R742"/>
      <c r="W742" s="2"/>
    </row>
    <row r="743" spans="18:23" x14ac:dyDescent="0.25">
      <c r="R743"/>
      <c r="W743" s="2"/>
    </row>
    <row r="744" spans="18:23" x14ac:dyDescent="0.25">
      <c r="R744"/>
      <c r="W744" s="2"/>
    </row>
    <row r="745" spans="18:23" x14ac:dyDescent="0.25">
      <c r="R745"/>
      <c r="W745" s="2"/>
    </row>
    <row r="746" spans="18:23" x14ac:dyDescent="0.25">
      <c r="R746"/>
      <c r="W746" s="2"/>
    </row>
    <row r="747" spans="18:23" x14ac:dyDescent="0.25">
      <c r="R747"/>
      <c r="W747" s="2"/>
    </row>
    <row r="748" spans="18:23" x14ac:dyDescent="0.25">
      <c r="R748"/>
      <c r="W748" s="2"/>
    </row>
    <row r="749" spans="18:23" x14ac:dyDescent="0.25">
      <c r="R749"/>
      <c r="W749" s="2"/>
    </row>
    <row r="750" spans="18:23" x14ac:dyDescent="0.25">
      <c r="R750"/>
      <c r="W750" s="2"/>
    </row>
    <row r="751" spans="18:23" x14ac:dyDescent="0.25">
      <c r="R751"/>
      <c r="W751" s="2"/>
    </row>
    <row r="752" spans="18:23" x14ac:dyDescent="0.25">
      <c r="R752"/>
      <c r="W752" s="2"/>
    </row>
    <row r="753" spans="18:23" x14ac:dyDescent="0.25">
      <c r="R753"/>
      <c r="W753" s="2"/>
    </row>
    <row r="754" spans="18:23" x14ac:dyDescent="0.25">
      <c r="R754"/>
      <c r="W754" s="2"/>
    </row>
    <row r="755" spans="18:23" x14ac:dyDescent="0.25">
      <c r="R755"/>
      <c r="W755" s="2"/>
    </row>
    <row r="756" spans="18:23" x14ac:dyDescent="0.25">
      <c r="R756"/>
      <c r="W756" s="2"/>
    </row>
    <row r="757" spans="18:23" x14ac:dyDescent="0.25">
      <c r="R757"/>
      <c r="W757" s="2"/>
    </row>
    <row r="758" spans="18:23" x14ac:dyDescent="0.25">
      <c r="R758"/>
      <c r="W758" s="2"/>
    </row>
    <row r="759" spans="18:23" x14ac:dyDescent="0.25">
      <c r="R759"/>
      <c r="W759" s="2"/>
    </row>
    <row r="760" spans="18:23" x14ac:dyDescent="0.25">
      <c r="R760"/>
      <c r="W760" s="2"/>
    </row>
    <row r="761" spans="18:23" x14ac:dyDescent="0.25">
      <c r="R761"/>
      <c r="W761" s="2"/>
    </row>
    <row r="762" spans="18:23" x14ac:dyDescent="0.25">
      <c r="R762"/>
      <c r="W762" s="2"/>
    </row>
    <row r="763" spans="18:23" x14ac:dyDescent="0.25">
      <c r="R763"/>
      <c r="W763" s="2"/>
    </row>
    <row r="764" spans="18:23" x14ac:dyDescent="0.25">
      <c r="R764"/>
      <c r="W764" s="2"/>
    </row>
    <row r="765" spans="18:23" x14ac:dyDescent="0.25">
      <c r="R765"/>
      <c r="W765" s="2"/>
    </row>
    <row r="766" spans="18:23" x14ac:dyDescent="0.25">
      <c r="R766"/>
      <c r="W766" s="2"/>
    </row>
    <row r="767" spans="18:23" x14ac:dyDescent="0.25">
      <c r="R767"/>
      <c r="W767" s="2"/>
    </row>
    <row r="768" spans="18:23" x14ac:dyDescent="0.25">
      <c r="R768"/>
      <c r="W768" s="2"/>
    </row>
    <row r="769" spans="18:23" x14ac:dyDescent="0.25">
      <c r="R769"/>
      <c r="W769" s="2"/>
    </row>
    <row r="770" spans="18:23" x14ac:dyDescent="0.25">
      <c r="R770"/>
      <c r="W770" s="2"/>
    </row>
    <row r="771" spans="18:23" x14ac:dyDescent="0.25">
      <c r="R771"/>
      <c r="W771" s="2"/>
    </row>
    <row r="772" spans="18:23" x14ac:dyDescent="0.25">
      <c r="R772"/>
      <c r="W772" s="2"/>
    </row>
    <row r="773" spans="18:23" x14ac:dyDescent="0.25">
      <c r="R773"/>
      <c r="W773" s="2"/>
    </row>
    <row r="774" spans="18:23" x14ac:dyDescent="0.25">
      <c r="R774"/>
      <c r="W774" s="2"/>
    </row>
    <row r="775" spans="18:23" x14ac:dyDescent="0.25">
      <c r="R775"/>
      <c r="W775" s="2"/>
    </row>
    <row r="776" spans="18:23" x14ac:dyDescent="0.25">
      <c r="R776"/>
      <c r="W776" s="2"/>
    </row>
    <row r="777" spans="18:23" x14ac:dyDescent="0.25">
      <c r="R777"/>
      <c r="W777" s="2"/>
    </row>
    <row r="778" spans="18:23" x14ac:dyDescent="0.25">
      <c r="R778"/>
      <c r="W778" s="2"/>
    </row>
    <row r="779" spans="18:23" x14ac:dyDescent="0.25">
      <c r="R779"/>
      <c r="W779" s="2"/>
    </row>
    <row r="780" spans="18:23" x14ac:dyDescent="0.25">
      <c r="R780"/>
      <c r="W780" s="2"/>
    </row>
    <row r="781" spans="18:23" x14ac:dyDescent="0.25">
      <c r="R781"/>
      <c r="W781" s="2"/>
    </row>
    <row r="782" spans="18:23" x14ac:dyDescent="0.25">
      <c r="R782"/>
      <c r="W782" s="2"/>
    </row>
    <row r="783" spans="18:23" x14ac:dyDescent="0.25">
      <c r="R783"/>
      <c r="W783" s="2"/>
    </row>
    <row r="784" spans="18:23" x14ac:dyDescent="0.25">
      <c r="R784"/>
      <c r="W784" s="2"/>
    </row>
    <row r="785" spans="18:23" x14ac:dyDescent="0.25">
      <c r="R785"/>
      <c r="W785" s="2"/>
    </row>
    <row r="786" spans="18:23" x14ac:dyDescent="0.25">
      <c r="R786"/>
      <c r="W786" s="2"/>
    </row>
    <row r="787" spans="18:23" x14ac:dyDescent="0.25">
      <c r="R787"/>
      <c r="W787" s="2"/>
    </row>
    <row r="788" spans="18:23" x14ac:dyDescent="0.25">
      <c r="R788"/>
      <c r="W788" s="2"/>
    </row>
    <row r="789" spans="18:23" x14ac:dyDescent="0.25">
      <c r="R789"/>
      <c r="W789" s="2"/>
    </row>
    <row r="790" spans="18:23" x14ac:dyDescent="0.25">
      <c r="R790"/>
      <c r="W790" s="2"/>
    </row>
    <row r="791" spans="18:23" x14ac:dyDescent="0.25">
      <c r="R791"/>
      <c r="W791" s="2"/>
    </row>
    <row r="792" spans="18:23" x14ac:dyDescent="0.25">
      <c r="R792"/>
      <c r="W792" s="2"/>
    </row>
    <row r="793" spans="18:23" x14ac:dyDescent="0.25">
      <c r="R793"/>
      <c r="W793" s="2"/>
    </row>
    <row r="794" spans="18:23" x14ac:dyDescent="0.25">
      <c r="R794"/>
      <c r="W794" s="2"/>
    </row>
    <row r="795" spans="18:23" x14ac:dyDescent="0.25">
      <c r="R795"/>
      <c r="W795" s="2"/>
    </row>
    <row r="796" spans="18:23" x14ac:dyDescent="0.25">
      <c r="R796"/>
      <c r="W796" s="2"/>
    </row>
    <row r="797" spans="18:23" x14ac:dyDescent="0.25">
      <c r="R797"/>
      <c r="W797" s="2"/>
    </row>
    <row r="798" spans="18:23" x14ac:dyDescent="0.25">
      <c r="R798"/>
      <c r="W798" s="2"/>
    </row>
    <row r="799" spans="18:23" x14ac:dyDescent="0.25">
      <c r="R799"/>
      <c r="W799" s="2"/>
    </row>
    <row r="800" spans="18:23" x14ac:dyDescent="0.25">
      <c r="R800"/>
      <c r="W800" s="2"/>
    </row>
    <row r="801" spans="18:23" x14ac:dyDescent="0.25">
      <c r="R801"/>
      <c r="W801" s="2"/>
    </row>
    <row r="802" spans="18:23" x14ac:dyDescent="0.25">
      <c r="R802"/>
      <c r="W802" s="2"/>
    </row>
    <row r="803" spans="18:23" x14ac:dyDescent="0.25">
      <c r="R803"/>
      <c r="W803" s="2"/>
    </row>
    <row r="804" spans="18:23" x14ac:dyDescent="0.25">
      <c r="R804"/>
      <c r="W804" s="2"/>
    </row>
    <row r="805" spans="18:23" x14ac:dyDescent="0.25">
      <c r="R805"/>
      <c r="W805" s="2"/>
    </row>
    <row r="806" spans="18:23" x14ac:dyDescent="0.25">
      <c r="R806"/>
      <c r="W806" s="2"/>
    </row>
    <row r="807" spans="18:23" x14ac:dyDescent="0.25">
      <c r="R807"/>
      <c r="W807" s="2"/>
    </row>
    <row r="808" spans="18:23" x14ac:dyDescent="0.25">
      <c r="R808"/>
      <c r="W808" s="2"/>
    </row>
    <row r="809" spans="18:23" x14ac:dyDescent="0.25">
      <c r="R809"/>
      <c r="W809" s="2"/>
    </row>
    <row r="810" spans="18:23" x14ac:dyDescent="0.25">
      <c r="R810"/>
      <c r="W810" s="2"/>
    </row>
    <row r="811" spans="18:23" x14ac:dyDescent="0.25">
      <c r="R811"/>
      <c r="W811" s="2"/>
    </row>
    <row r="812" spans="18:23" x14ac:dyDescent="0.25">
      <c r="R812"/>
      <c r="W812" s="2"/>
    </row>
    <row r="813" spans="18:23" x14ac:dyDescent="0.25">
      <c r="R813"/>
      <c r="W813" s="2"/>
    </row>
    <row r="814" spans="18:23" x14ac:dyDescent="0.25">
      <c r="R814"/>
      <c r="W814" s="2"/>
    </row>
    <row r="815" spans="18:23" x14ac:dyDescent="0.25">
      <c r="R815"/>
      <c r="W815" s="2"/>
    </row>
    <row r="816" spans="18:23" x14ac:dyDescent="0.25">
      <c r="R816"/>
      <c r="W816" s="2"/>
    </row>
    <row r="817" spans="18:23" x14ac:dyDescent="0.25">
      <c r="R817"/>
      <c r="W817" s="2"/>
    </row>
    <row r="818" spans="18:23" x14ac:dyDescent="0.25">
      <c r="R818"/>
      <c r="W818" s="2"/>
    </row>
    <row r="819" spans="18:23" x14ac:dyDescent="0.25">
      <c r="R819"/>
      <c r="W819" s="2"/>
    </row>
    <row r="820" spans="18:23" x14ac:dyDescent="0.25">
      <c r="R820"/>
      <c r="W820" s="2"/>
    </row>
    <row r="821" spans="18:23" x14ac:dyDescent="0.25">
      <c r="R821"/>
      <c r="W821" s="2"/>
    </row>
    <row r="822" spans="18:23" x14ac:dyDescent="0.25">
      <c r="R822"/>
      <c r="W822" s="2"/>
    </row>
    <row r="823" spans="18:23" x14ac:dyDescent="0.25">
      <c r="R823"/>
      <c r="W823" s="2"/>
    </row>
    <row r="824" spans="18:23" x14ac:dyDescent="0.25">
      <c r="R824"/>
      <c r="W824" s="2"/>
    </row>
    <row r="825" spans="18:23" x14ac:dyDescent="0.25">
      <c r="R825"/>
      <c r="W825" s="2"/>
    </row>
    <row r="826" spans="18:23" x14ac:dyDescent="0.25">
      <c r="R826"/>
      <c r="W826" s="2"/>
    </row>
    <row r="827" spans="18:23" x14ac:dyDescent="0.25">
      <c r="R827"/>
      <c r="W827" s="2"/>
    </row>
    <row r="828" spans="18:23" x14ac:dyDescent="0.25">
      <c r="R828"/>
      <c r="W828" s="2"/>
    </row>
    <row r="829" spans="18:23" x14ac:dyDescent="0.25">
      <c r="R829"/>
      <c r="W829" s="2"/>
    </row>
    <row r="830" spans="18:23" x14ac:dyDescent="0.25">
      <c r="R830"/>
      <c r="W830" s="2"/>
    </row>
    <row r="831" spans="18:23" x14ac:dyDescent="0.25">
      <c r="R831"/>
      <c r="W831" s="2"/>
    </row>
    <row r="832" spans="18:23" x14ac:dyDescent="0.25">
      <c r="R832"/>
      <c r="W832" s="2"/>
    </row>
    <row r="833" spans="18:23" x14ac:dyDescent="0.25">
      <c r="R833"/>
      <c r="W833" s="2"/>
    </row>
    <row r="834" spans="18:23" x14ac:dyDescent="0.25">
      <c r="R834"/>
      <c r="W834" s="2"/>
    </row>
    <row r="835" spans="18:23" x14ac:dyDescent="0.25">
      <c r="R835"/>
      <c r="W835" s="2"/>
    </row>
    <row r="836" spans="18:23" x14ac:dyDescent="0.25">
      <c r="R836"/>
      <c r="W836" s="2"/>
    </row>
    <row r="837" spans="18:23" x14ac:dyDescent="0.25">
      <c r="R837"/>
      <c r="W837" s="2"/>
    </row>
    <row r="838" spans="18:23" x14ac:dyDescent="0.25">
      <c r="R838"/>
      <c r="W838" s="2"/>
    </row>
    <row r="839" spans="18:23" x14ac:dyDescent="0.25">
      <c r="R839"/>
      <c r="W839" s="2"/>
    </row>
    <row r="840" spans="18:23" x14ac:dyDescent="0.25">
      <c r="R840"/>
      <c r="W840" s="2"/>
    </row>
    <row r="841" spans="18:23" x14ac:dyDescent="0.25">
      <c r="R841"/>
      <c r="W841" s="2"/>
    </row>
    <row r="842" spans="18:23" x14ac:dyDescent="0.25">
      <c r="R842"/>
      <c r="W842" s="2"/>
    </row>
    <row r="843" spans="18:23" x14ac:dyDescent="0.25">
      <c r="R843"/>
      <c r="W843" s="2"/>
    </row>
    <row r="844" spans="18:23" x14ac:dyDescent="0.25">
      <c r="R844"/>
      <c r="W844" s="2"/>
    </row>
    <row r="845" spans="18:23" x14ac:dyDescent="0.25">
      <c r="R845"/>
      <c r="W845" s="2"/>
    </row>
    <row r="846" spans="18:23" x14ac:dyDescent="0.25">
      <c r="R846"/>
      <c r="W846" s="2"/>
    </row>
    <row r="847" spans="18:23" x14ac:dyDescent="0.25">
      <c r="R847"/>
      <c r="W847" s="2"/>
    </row>
    <row r="848" spans="18:23" x14ac:dyDescent="0.25">
      <c r="R848"/>
      <c r="W848" s="2"/>
    </row>
    <row r="849" spans="18:23" x14ac:dyDescent="0.25">
      <c r="R849"/>
      <c r="W849" s="2"/>
    </row>
    <row r="850" spans="18:23" x14ac:dyDescent="0.25">
      <c r="R850"/>
      <c r="W850" s="2"/>
    </row>
    <row r="851" spans="18:23" x14ac:dyDescent="0.25">
      <c r="R851"/>
      <c r="W851" s="2"/>
    </row>
    <row r="852" spans="18:23" x14ac:dyDescent="0.25">
      <c r="R852"/>
      <c r="W852" s="2"/>
    </row>
    <row r="853" spans="18:23" x14ac:dyDescent="0.25">
      <c r="R853"/>
      <c r="W853" s="2"/>
    </row>
    <row r="854" spans="18:23" x14ac:dyDescent="0.25">
      <c r="R854"/>
      <c r="W854" s="2"/>
    </row>
    <row r="855" spans="18:23" x14ac:dyDescent="0.25">
      <c r="R855"/>
      <c r="W855" s="2"/>
    </row>
    <row r="856" spans="18:23" x14ac:dyDescent="0.25">
      <c r="R856"/>
      <c r="W856" s="2"/>
    </row>
    <row r="857" spans="18:23" x14ac:dyDescent="0.25">
      <c r="R857"/>
      <c r="W857" s="2"/>
    </row>
    <row r="858" spans="18:23" x14ac:dyDescent="0.25">
      <c r="R858"/>
      <c r="W858" s="2"/>
    </row>
    <row r="859" spans="18:23" x14ac:dyDescent="0.25">
      <c r="R859"/>
      <c r="W859" s="2"/>
    </row>
    <row r="860" spans="18:23" x14ac:dyDescent="0.25">
      <c r="R860"/>
      <c r="W860" s="2"/>
    </row>
    <row r="861" spans="18:23" x14ac:dyDescent="0.25">
      <c r="R861"/>
      <c r="W861" s="2"/>
    </row>
    <row r="862" spans="18:23" x14ac:dyDescent="0.25">
      <c r="R862"/>
      <c r="W862" s="2"/>
    </row>
    <row r="863" spans="18:23" x14ac:dyDescent="0.25">
      <c r="R863"/>
      <c r="W863" s="2"/>
    </row>
    <row r="864" spans="18:23" x14ac:dyDescent="0.25">
      <c r="R864"/>
      <c r="W864" s="2"/>
    </row>
    <row r="865" spans="18:23" x14ac:dyDescent="0.25">
      <c r="R865"/>
      <c r="W865" s="2"/>
    </row>
    <row r="866" spans="18:23" x14ac:dyDescent="0.25">
      <c r="R866"/>
      <c r="W866" s="2"/>
    </row>
    <row r="867" spans="18:23" x14ac:dyDescent="0.25">
      <c r="R867"/>
      <c r="W867" s="2"/>
    </row>
    <row r="868" spans="18:23" x14ac:dyDescent="0.25">
      <c r="R868"/>
      <c r="W868" s="2"/>
    </row>
    <row r="869" spans="18:23" x14ac:dyDescent="0.25">
      <c r="R869"/>
      <c r="W869" s="2"/>
    </row>
    <row r="870" spans="18:23" x14ac:dyDescent="0.25">
      <c r="R870"/>
      <c r="W870" s="2"/>
    </row>
    <row r="871" spans="18:23" x14ac:dyDescent="0.25">
      <c r="R871"/>
      <c r="W871" s="2"/>
    </row>
    <row r="872" spans="18:23" x14ac:dyDescent="0.25">
      <c r="R872"/>
      <c r="W872" s="2"/>
    </row>
    <row r="873" spans="18:23" x14ac:dyDescent="0.25">
      <c r="R873"/>
      <c r="W873" s="2"/>
    </row>
    <row r="874" spans="18:23" x14ac:dyDescent="0.25">
      <c r="R874"/>
      <c r="W874" s="2"/>
    </row>
    <row r="875" spans="18:23" x14ac:dyDescent="0.25">
      <c r="R875"/>
      <c r="W875" s="2"/>
    </row>
    <row r="876" spans="18:23" x14ac:dyDescent="0.25">
      <c r="R876"/>
      <c r="W876" s="2"/>
    </row>
    <row r="877" spans="18:23" x14ac:dyDescent="0.25">
      <c r="R877"/>
      <c r="W877" s="2"/>
    </row>
    <row r="878" spans="18:23" x14ac:dyDescent="0.25">
      <c r="R878"/>
      <c r="W878" s="2"/>
    </row>
    <row r="879" spans="18:23" x14ac:dyDescent="0.25">
      <c r="R879"/>
      <c r="W879" s="2"/>
    </row>
    <row r="880" spans="18:23" x14ac:dyDescent="0.25">
      <c r="R880"/>
      <c r="W880" s="2"/>
    </row>
    <row r="881" spans="18:23" x14ac:dyDescent="0.25">
      <c r="R881"/>
      <c r="W881" s="2"/>
    </row>
    <row r="882" spans="18:23" x14ac:dyDescent="0.25">
      <c r="R882"/>
      <c r="W882" s="2"/>
    </row>
    <row r="883" spans="18:23" x14ac:dyDescent="0.25">
      <c r="R883"/>
      <c r="W883" s="2"/>
    </row>
    <row r="884" spans="18:23" x14ac:dyDescent="0.25">
      <c r="R884"/>
      <c r="W884" s="2"/>
    </row>
    <row r="885" spans="18:23" x14ac:dyDescent="0.25">
      <c r="R885"/>
      <c r="W885" s="2"/>
    </row>
    <row r="886" spans="18:23" x14ac:dyDescent="0.25">
      <c r="R886"/>
      <c r="W886" s="2"/>
    </row>
    <row r="887" spans="18:23" x14ac:dyDescent="0.25">
      <c r="R887"/>
      <c r="W887" s="2"/>
    </row>
    <row r="888" spans="18:23" x14ac:dyDescent="0.25">
      <c r="R888"/>
      <c r="W888" s="2"/>
    </row>
    <row r="889" spans="18:23" x14ac:dyDescent="0.25">
      <c r="R889"/>
      <c r="W889" s="2"/>
    </row>
    <row r="890" spans="18:23" x14ac:dyDescent="0.25">
      <c r="R890"/>
      <c r="W890" s="2"/>
    </row>
    <row r="891" spans="18:23" x14ac:dyDescent="0.25">
      <c r="R891"/>
      <c r="W891" s="2"/>
    </row>
    <row r="892" spans="18:23" x14ac:dyDescent="0.25">
      <c r="R892"/>
      <c r="W892" s="2"/>
    </row>
    <row r="893" spans="18:23" x14ac:dyDescent="0.25">
      <c r="R893"/>
      <c r="W893" s="2"/>
    </row>
    <row r="894" spans="18:23" x14ac:dyDescent="0.25">
      <c r="R894"/>
      <c r="W894" s="2"/>
    </row>
    <row r="895" spans="18:23" x14ac:dyDescent="0.25">
      <c r="R895"/>
      <c r="W895" s="2"/>
    </row>
    <row r="896" spans="18:23" x14ac:dyDescent="0.25">
      <c r="R896"/>
      <c r="W896" s="2"/>
    </row>
    <row r="897" spans="18:23" x14ac:dyDescent="0.25">
      <c r="R897"/>
      <c r="W897" s="2"/>
    </row>
    <row r="898" spans="18:23" x14ac:dyDescent="0.25">
      <c r="R898"/>
      <c r="W898" s="2"/>
    </row>
    <row r="899" spans="18:23" x14ac:dyDescent="0.25">
      <c r="R899"/>
      <c r="W899" s="2"/>
    </row>
    <row r="900" spans="18:23" x14ac:dyDescent="0.25">
      <c r="R900"/>
      <c r="W900" s="2"/>
    </row>
    <row r="901" spans="18:23" x14ac:dyDescent="0.25">
      <c r="R901"/>
      <c r="W901" s="2"/>
    </row>
    <row r="902" spans="18:23" x14ac:dyDescent="0.25">
      <c r="R902"/>
      <c r="W902" s="2"/>
    </row>
    <row r="903" spans="18:23" x14ac:dyDescent="0.25">
      <c r="R903"/>
      <c r="W903" s="2"/>
    </row>
    <row r="904" spans="18:23" x14ac:dyDescent="0.25">
      <c r="R904"/>
      <c r="W904" s="2"/>
    </row>
    <row r="905" spans="18:23" x14ac:dyDescent="0.25">
      <c r="R905"/>
      <c r="W905" s="2"/>
    </row>
    <row r="906" spans="18:23" x14ac:dyDescent="0.25">
      <c r="R906"/>
      <c r="W906" s="2"/>
    </row>
    <row r="907" spans="18:23" x14ac:dyDescent="0.25">
      <c r="R907"/>
      <c r="W907" s="2"/>
    </row>
    <row r="908" spans="18:23" x14ac:dyDescent="0.25">
      <c r="R908"/>
      <c r="W908" s="2"/>
    </row>
    <row r="909" spans="18:23" x14ac:dyDescent="0.25">
      <c r="R909"/>
      <c r="W909" s="2"/>
    </row>
    <row r="910" spans="18:23" x14ac:dyDescent="0.25">
      <c r="R910"/>
      <c r="W910" s="2"/>
    </row>
    <row r="911" spans="18:23" x14ac:dyDescent="0.25">
      <c r="R911"/>
      <c r="W911" s="2"/>
    </row>
    <row r="912" spans="18:23" x14ac:dyDescent="0.25">
      <c r="R912"/>
      <c r="W912" s="2"/>
    </row>
    <row r="913" spans="18:23" x14ac:dyDescent="0.25">
      <c r="R913"/>
      <c r="W913" s="2"/>
    </row>
    <row r="914" spans="18:23" x14ac:dyDescent="0.25">
      <c r="R914"/>
      <c r="W914" s="2"/>
    </row>
    <row r="915" spans="18:23" x14ac:dyDescent="0.25">
      <c r="R915"/>
      <c r="W915" s="2"/>
    </row>
    <row r="916" spans="18:23" x14ac:dyDescent="0.25">
      <c r="R916"/>
      <c r="W916" s="2"/>
    </row>
    <row r="917" spans="18:23" x14ac:dyDescent="0.25">
      <c r="R917"/>
      <c r="W917" s="2"/>
    </row>
    <row r="918" spans="18:23" x14ac:dyDescent="0.25">
      <c r="R918"/>
      <c r="W918" s="2"/>
    </row>
    <row r="919" spans="18:23" x14ac:dyDescent="0.25">
      <c r="R919"/>
      <c r="W919" s="2"/>
    </row>
    <row r="920" spans="18:23" x14ac:dyDescent="0.25">
      <c r="R920"/>
      <c r="W920" s="2"/>
    </row>
    <row r="921" spans="18:23" x14ac:dyDescent="0.25">
      <c r="R921"/>
      <c r="W921" s="2"/>
    </row>
    <row r="922" spans="18:23" x14ac:dyDescent="0.25">
      <c r="R922"/>
      <c r="W922" s="2"/>
    </row>
    <row r="923" spans="18:23" x14ac:dyDescent="0.25">
      <c r="R923"/>
      <c r="W923" s="2"/>
    </row>
    <row r="924" spans="18:23" x14ac:dyDescent="0.25">
      <c r="R924"/>
      <c r="W924" s="2"/>
    </row>
    <row r="925" spans="18:23" x14ac:dyDescent="0.25">
      <c r="R925"/>
      <c r="W925" s="2"/>
    </row>
    <row r="926" spans="18:23" x14ac:dyDescent="0.25">
      <c r="R926"/>
      <c r="W926" s="2"/>
    </row>
    <row r="927" spans="18:23" x14ac:dyDescent="0.25">
      <c r="R927"/>
      <c r="W927" s="2"/>
    </row>
    <row r="928" spans="18:23" x14ac:dyDescent="0.25">
      <c r="R928"/>
      <c r="W928" s="2"/>
    </row>
    <row r="929" spans="18:23" x14ac:dyDescent="0.25">
      <c r="R929"/>
      <c r="W929" s="2"/>
    </row>
    <row r="930" spans="18:23" x14ac:dyDescent="0.25">
      <c r="R930"/>
      <c r="W930" s="2"/>
    </row>
    <row r="931" spans="18:23" x14ac:dyDescent="0.25">
      <c r="R931"/>
      <c r="W931" s="2"/>
    </row>
    <row r="932" spans="18:23" x14ac:dyDescent="0.25">
      <c r="R932"/>
      <c r="W932" s="2"/>
    </row>
    <row r="933" spans="18:23" x14ac:dyDescent="0.25">
      <c r="R933"/>
      <c r="W933" s="2"/>
    </row>
    <row r="934" spans="18:23" x14ac:dyDescent="0.25">
      <c r="R934"/>
      <c r="W934" s="2"/>
    </row>
    <row r="935" spans="18:23" x14ac:dyDescent="0.25">
      <c r="R935"/>
      <c r="W935" s="2"/>
    </row>
    <row r="936" spans="18:23" x14ac:dyDescent="0.25">
      <c r="R936"/>
      <c r="W936" s="2"/>
    </row>
    <row r="937" spans="18:23" x14ac:dyDescent="0.25">
      <c r="R937"/>
      <c r="W937" s="2"/>
    </row>
    <row r="938" spans="18:23" x14ac:dyDescent="0.25">
      <c r="R938"/>
      <c r="W938" s="2"/>
    </row>
    <row r="939" spans="18:23" x14ac:dyDescent="0.25">
      <c r="R939"/>
      <c r="W939" s="2"/>
    </row>
    <row r="940" spans="18:23" x14ac:dyDescent="0.25">
      <c r="R940"/>
      <c r="W940" s="2"/>
    </row>
    <row r="941" spans="18:23" x14ac:dyDescent="0.25">
      <c r="R941"/>
      <c r="W941" s="2"/>
    </row>
    <row r="942" spans="18:23" x14ac:dyDescent="0.25">
      <c r="R942"/>
      <c r="W942" s="2"/>
    </row>
    <row r="943" spans="18:23" x14ac:dyDescent="0.25">
      <c r="R943"/>
      <c r="W943" s="2"/>
    </row>
    <row r="944" spans="18:23" x14ac:dyDescent="0.25">
      <c r="R944"/>
      <c r="W944" s="2"/>
    </row>
    <row r="945" spans="18:23" x14ac:dyDescent="0.25">
      <c r="R945"/>
      <c r="W945" s="2"/>
    </row>
    <row r="946" spans="18:23" x14ac:dyDescent="0.25">
      <c r="R946"/>
      <c r="W946" s="2"/>
    </row>
    <row r="947" spans="18:23" x14ac:dyDescent="0.25">
      <c r="R947"/>
      <c r="W947" s="2"/>
    </row>
    <row r="948" spans="18:23" x14ac:dyDescent="0.25">
      <c r="R948"/>
      <c r="W948" s="2"/>
    </row>
    <row r="949" spans="18:23" x14ac:dyDescent="0.25">
      <c r="R949"/>
      <c r="W949" s="2"/>
    </row>
    <row r="950" spans="18:23" x14ac:dyDescent="0.25">
      <c r="R950"/>
      <c r="W950" s="2"/>
    </row>
    <row r="951" spans="18:23" x14ac:dyDescent="0.25">
      <c r="R951"/>
      <c r="W951" s="2"/>
    </row>
    <row r="952" spans="18:23" x14ac:dyDescent="0.25">
      <c r="R952"/>
      <c r="W952" s="2"/>
    </row>
    <row r="953" spans="18:23" x14ac:dyDescent="0.25">
      <c r="R953"/>
      <c r="W953" s="2"/>
    </row>
    <row r="954" spans="18:23" x14ac:dyDescent="0.25">
      <c r="R954"/>
      <c r="W954" s="2"/>
    </row>
    <row r="955" spans="18:23" x14ac:dyDescent="0.25">
      <c r="R955"/>
      <c r="W955" s="2"/>
    </row>
    <row r="956" spans="18:23" x14ac:dyDescent="0.25">
      <c r="R956"/>
      <c r="W956" s="2"/>
    </row>
    <row r="957" spans="18:23" x14ac:dyDescent="0.25">
      <c r="R957"/>
      <c r="W957" s="2"/>
    </row>
    <row r="958" spans="18:23" x14ac:dyDescent="0.25">
      <c r="R958"/>
      <c r="W958" s="2"/>
    </row>
    <row r="959" spans="18:23" x14ac:dyDescent="0.25">
      <c r="R959"/>
      <c r="W959" s="2"/>
    </row>
    <row r="960" spans="18:23" x14ac:dyDescent="0.25">
      <c r="R960"/>
      <c r="W960" s="2"/>
    </row>
    <row r="961" spans="18:23" x14ac:dyDescent="0.25">
      <c r="R961"/>
      <c r="W961" s="2"/>
    </row>
    <row r="962" spans="18:23" x14ac:dyDescent="0.25">
      <c r="R962"/>
      <c r="W962" s="2"/>
    </row>
    <row r="963" spans="18:23" x14ac:dyDescent="0.25">
      <c r="R963"/>
      <c r="W963" s="2"/>
    </row>
    <row r="964" spans="18:23" x14ac:dyDescent="0.25">
      <c r="R964"/>
      <c r="W964" s="2"/>
    </row>
    <row r="965" spans="18:23" x14ac:dyDescent="0.25">
      <c r="R965"/>
      <c r="W965" s="2"/>
    </row>
    <row r="966" spans="18:23" x14ac:dyDescent="0.25">
      <c r="R966"/>
      <c r="W966" s="2"/>
    </row>
    <row r="967" spans="18:23" x14ac:dyDescent="0.25">
      <c r="R967"/>
      <c r="W967" s="2"/>
    </row>
    <row r="968" spans="18:23" x14ac:dyDescent="0.25">
      <c r="R968"/>
      <c r="W968" s="2"/>
    </row>
    <row r="969" spans="18:23" x14ac:dyDescent="0.25">
      <c r="R969"/>
      <c r="W969" s="2"/>
    </row>
    <row r="970" spans="18:23" x14ac:dyDescent="0.25">
      <c r="R970"/>
      <c r="W970" s="2"/>
    </row>
    <row r="971" spans="18:23" x14ac:dyDescent="0.25">
      <c r="R971"/>
      <c r="W971" s="2"/>
    </row>
    <row r="972" spans="18:23" x14ac:dyDescent="0.25">
      <c r="R972"/>
      <c r="W972" s="2"/>
    </row>
    <row r="973" spans="18:23" x14ac:dyDescent="0.25">
      <c r="R973"/>
      <c r="W973" s="2"/>
    </row>
    <row r="974" spans="18:23" x14ac:dyDescent="0.25">
      <c r="R974"/>
      <c r="W974" s="2"/>
    </row>
    <row r="975" spans="18:23" x14ac:dyDescent="0.25">
      <c r="R975"/>
      <c r="W975" s="2"/>
    </row>
    <row r="976" spans="18:23" x14ac:dyDescent="0.25">
      <c r="R976"/>
      <c r="W976" s="2"/>
    </row>
    <row r="977" spans="18:23" x14ac:dyDescent="0.25">
      <c r="R977"/>
      <c r="W977" s="2"/>
    </row>
    <row r="978" spans="18:23" x14ac:dyDescent="0.25">
      <c r="R978"/>
      <c r="W978" s="2"/>
    </row>
    <row r="979" spans="18:23" x14ac:dyDescent="0.25">
      <c r="R979"/>
      <c r="W979" s="2"/>
    </row>
    <row r="980" spans="18:23" x14ac:dyDescent="0.25">
      <c r="R980"/>
      <c r="W980" s="2"/>
    </row>
    <row r="981" spans="18:23" x14ac:dyDescent="0.25">
      <c r="R981"/>
      <c r="W981" s="2"/>
    </row>
    <row r="982" spans="18:23" x14ac:dyDescent="0.25">
      <c r="R982"/>
      <c r="W982" s="2"/>
    </row>
    <row r="983" spans="18:23" x14ac:dyDescent="0.25">
      <c r="R983"/>
      <c r="W983" s="2"/>
    </row>
    <row r="984" spans="18:23" x14ac:dyDescent="0.25">
      <c r="R984"/>
      <c r="W984" s="2"/>
    </row>
    <row r="985" spans="18:23" x14ac:dyDescent="0.25">
      <c r="R985"/>
      <c r="W985" s="2"/>
    </row>
    <row r="986" spans="18:23" x14ac:dyDescent="0.25">
      <c r="R986"/>
      <c r="W986" s="2"/>
    </row>
    <row r="987" spans="18:23" x14ac:dyDescent="0.25">
      <c r="R987"/>
      <c r="W987" s="2"/>
    </row>
    <row r="988" spans="18:23" x14ac:dyDescent="0.25">
      <c r="R988"/>
      <c r="W988" s="2"/>
    </row>
    <row r="989" spans="18:23" x14ac:dyDescent="0.25">
      <c r="R989"/>
      <c r="W989" s="2"/>
    </row>
    <row r="990" spans="18:23" x14ac:dyDescent="0.25">
      <c r="R990"/>
      <c r="W990" s="2"/>
    </row>
    <row r="991" spans="18:23" x14ac:dyDescent="0.25">
      <c r="R991"/>
      <c r="W991" s="2"/>
    </row>
    <row r="992" spans="18:23" x14ac:dyDescent="0.25">
      <c r="R992"/>
      <c r="W992" s="2"/>
    </row>
    <row r="993" spans="18:23" x14ac:dyDescent="0.25">
      <c r="R993"/>
      <c r="W993" s="2"/>
    </row>
    <row r="994" spans="18:23" x14ac:dyDescent="0.25">
      <c r="R994"/>
      <c r="W994" s="2"/>
    </row>
    <row r="995" spans="18:23" x14ac:dyDescent="0.25">
      <c r="R995"/>
      <c r="W995" s="2"/>
    </row>
    <row r="996" spans="18:23" x14ac:dyDescent="0.25">
      <c r="R996"/>
      <c r="W996" s="2"/>
    </row>
    <row r="997" spans="18:23" x14ac:dyDescent="0.25">
      <c r="R997"/>
      <c r="W997" s="2"/>
    </row>
    <row r="998" spans="18:23" x14ac:dyDescent="0.25">
      <c r="R998"/>
      <c r="W998" s="2"/>
    </row>
    <row r="999" spans="18:23" x14ac:dyDescent="0.25">
      <c r="R999"/>
      <c r="W999" s="2"/>
    </row>
    <row r="1000" spans="18:23" x14ac:dyDescent="0.25">
      <c r="R1000"/>
      <c r="W1000" s="2"/>
    </row>
    <row r="1001" spans="18:23" x14ac:dyDescent="0.25">
      <c r="R1001"/>
      <c r="W1001" s="2"/>
    </row>
    <row r="1002" spans="18:23" x14ac:dyDescent="0.25">
      <c r="R1002"/>
      <c r="W1002" s="2"/>
    </row>
    <row r="1003" spans="18:23" x14ac:dyDescent="0.25">
      <c r="R1003"/>
      <c r="W1003" s="2"/>
    </row>
    <row r="1004" spans="18:23" x14ac:dyDescent="0.25">
      <c r="R1004"/>
      <c r="W1004" s="2"/>
    </row>
    <row r="1005" spans="18:23" x14ac:dyDescent="0.25">
      <c r="R1005"/>
      <c r="W1005" s="2"/>
    </row>
    <row r="1006" spans="18:23" x14ac:dyDescent="0.25">
      <c r="R1006"/>
      <c r="W1006" s="2"/>
    </row>
    <row r="1007" spans="18:23" x14ac:dyDescent="0.25">
      <c r="R1007"/>
      <c r="W1007" s="2"/>
    </row>
    <row r="1008" spans="18:23" x14ac:dyDescent="0.25">
      <c r="R1008"/>
      <c r="W1008" s="2"/>
    </row>
    <row r="1009" spans="18:23" x14ac:dyDescent="0.25">
      <c r="R1009"/>
      <c r="W1009" s="2"/>
    </row>
    <row r="1010" spans="18:23" x14ac:dyDescent="0.25">
      <c r="R1010"/>
      <c r="W1010" s="2"/>
    </row>
    <row r="1011" spans="18:23" x14ac:dyDescent="0.25">
      <c r="R1011"/>
      <c r="W1011" s="2"/>
    </row>
    <row r="1012" spans="18:23" x14ac:dyDescent="0.25">
      <c r="R1012"/>
      <c r="W1012" s="2"/>
    </row>
    <row r="1013" spans="18:23" x14ac:dyDescent="0.25">
      <c r="R1013"/>
      <c r="W1013" s="2"/>
    </row>
    <row r="1014" spans="18:23" x14ac:dyDescent="0.25">
      <c r="R1014"/>
      <c r="W1014" s="2"/>
    </row>
    <row r="1015" spans="18:23" x14ac:dyDescent="0.25">
      <c r="R1015"/>
      <c r="W1015" s="2"/>
    </row>
    <row r="1016" spans="18:23" x14ac:dyDescent="0.25">
      <c r="R1016"/>
      <c r="W1016" s="2"/>
    </row>
    <row r="1017" spans="18:23" x14ac:dyDescent="0.25">
      <c r="R1017"/>
      <c r="W1017" s="2"/>
    </row>
    <row r="1018" spans="18:23" x14ac:dyDescent="0.25">
      <c r="R1018"/>
      <c r="W1018" s="2"/>
    </row>
    <row r="1019" spans="18:23" x14ac:dyDescent="0.25">
      <c r="R1019"/>
      <c r="W1019" s="2"/>
    </row>
    <row r="1020" spans="18:23" x14ac:dyDescent="0.25">
      <c r="R1020"/>
      <c r="W1020" s="2"/>
    </row>
    <row r="1021" spans="18:23" x14ac:dyDescent="0.25">
      <c r="R1021"/>
      <c r="W1021" s="2"/>
    </row>
    <row r="1022" spans="18:23" x14ac:dyDescent="0.25">
      <c r="R1022"/>
      <c r="W1022" s="2"/>
    </row>
    <row r="1023" spans="18:23" x14ac:dyDescent="0.25">
      <c r="R1023"/>
      <c r="W1023" s="2"/>
    </row>
    <row r="1024" spans="18:23" x14ac:dyDescent="0.25">
      <c r="R1024"/>
      <c r="W1024" s="2"/>
    </row>
    <row r="1025" spans="18:23" x14ac:dyDescent="0.25">
      <c r="R1025"/>
      <c r="W1025" s="2"/>
    </row>
    <row r="1026" spans="18:23" x14ac:dyDescent="0.25">
      <c r="R1026"/>
      <c r="W1026" s="2"/>
    </row>
    <row r="1027" spans="18:23" x14ac:dyDescent="0.25">
      <c r="R1027"/>
      <c r="W1027" s="2"/>
    </row>
    <row r="1028" spans="18:23" x14ac:dyDescent="0.25">
      <c r="R1028"/>
      <c r="W1028" s="2"/>
    </row>
    <row r="1029" spans="18:23" x14ac:dyDescent="0.25">
      <c r="R1029"/>
      <c r="W1029" s="2"/>
    </row>
    <row r="1030" spans="18:23" x14ac:dyDescent="0.25">
      <c r="R1030"/>
      <c r="W1030" s="2"/>
    </row>
    <row r="1031" spans="18:23" x14ac:dyDescent="0.25">
      <c r="R1031"/>
      <c r="W1031" s="2"/>
    </row>
    <row r="1032" spans="18:23" x14ac:dyDescent="0.25">
      <c r="R1032"/>
      <c r="W1032" s="2"/>
    </row>
    <row r="1033" spans="18:23" x14ac:dyDescent="0.25">
      <c r="R1033"/>
      <c r="W1033" s="2"/>
    </row>
    <row r="1034" spans="18:23" x14ac:dyDescent="0.25">
      <c r="R1034"/>
      <c r="W1034" s="2"/>
    </row>
    <row r="1035" spans="18:23" x14ac:dyDescent="0.25">
      <c r="R1035"/>
      <c r="W1035" s="2"/>
    </row>
    <row r="1036" spans="18:23" x14ac:dyDescent="0.25">
      <c r="R1036"/>
      <c r="W1036" s="2"/>
    </row>
    <row r="1037" spans="18:23" x14ac:dyDescent="0.25">
      <c r="R1037"/>
      <c r="W1037" s="2"/>
    </row>
    <row r="1038" spans="18:23" x14ac:dyDescent="0.25">
      <c r="R1038"/>
      <c r="W1038" s="2"/>
    </row>
    <row r="1039" spans="18:23" x14ac:dyDescent="0.25">
      <c r="R1039"/>
      <c r="W1039" s="2"/>
    </row>
    <row r="1040" spans="18:23" x14ac:dyDescent="0.25">
      <c r="R1040"/>
      <c r="W1040" s="2"/>
    </row>
    <row r="1041" spans="18:23" x14ac:dyDescent="0.25">
      <c r="R1041"/>
      <c r="W1041" s="2"/>
    </row>
    <row r="1042" spans="18:23" x14ac:dyDescent="0.25">
      <c r="R1042"/>
      <c r="W1042" s="2"/>
    </row>
    <row r="1043" spans="18:23" x14ac:dyDescent="0.25">
      <c r="R1043"/>
      <c r="W1043" s="2"/>
    </row>
    <row r="1044" spans="18:23" x14ac:dyDescent="0.25">
      <c r="R1044"/>
      <c r="W1044" s="2"/>
    </row>
    <row r="1045" spans="18:23" x14ac:dyDescent="0.25">
      <c r="R1045"/>
      <c r="W1045" s="2"/>
    </row>
    <row r="1046" spans="18:23" x14ac:dyDescent="0.25">
      <c r="R1046"/>
      <c r="W1046" s="2"/>
    </row>
    <row r="1047" spans="18:23" x14ac:dyDescent="0.25">
      <c r="R1047"/>
      <c r="W1047" s="2"/>
    </row>
    <row r="1048" spans="18:23" x14ac:dyDescent="0.25">
      <c r="R1048"/>
      <c r="W1048" s="2"/>
    </row>
    <row r="1049" spans="18:23" x14ac:dyDescent="0.25">
      <c r="R1049"/>
      <c r="W1049" s="2"/>
    </row>
    <row r="1050" spans="18:23" x14ac:dyDescent="0.25">
      <c r="R1050"/>
      <c r="W1050" s="2"/>
    </row>
    <row r="1051" spans="18:23" x14ac:dyDescent="0.25">
      <c r="R1051"/>
      <c r="W1051" s="2"/>
    </row>
    <row r="1052" spans="18:23" x14ac:dyDescent="0.25">
      <c r="R1052"/>
      <c r="W1052" s="2"/>
    </row>
    <row r="1053" spans="18:23" x14ac:dyDescent="0.25">
      <c r="R1053"/>
      <c r="W1053" s="2"/>
    </row>
    <row r="1054" spans="18:23" x14ac:dyDescent="0.25">
      <c r="R1054"/>
      <c r="W1054" s="2"/>
    </row>
    <row r="1055" spans="18:23" x14ac:dyDescent="0.25">
      <c r="R1055"/>
      <c r="W1055" s="2"/>
    </row>
    <row r="1056" spans="18:23" x14ac:dyDescent="0.25">
      <c r="R1056"/>
      <c r="W1056" s="2"/>
    </row>
    <row r="1057" spans="18:23" x14ac:dyDescent="0.25">
      <c r="R1057"/>
      <c r="W1057" s="2"/>
    </row>
    <row r="1058" spans="18:23" x14ac:dyDescent="0.25">
      <c r="R1058"/>
      <c r="W1058" s="2"/>
    </row>
    <row r="1059" spans="18:23" x14ac:dyDescent="0.25">
      <c r="R1059"/>
      <c r="W1059" s="2"/>
    </row>
    <row r="1060" spans="18:23" x14ac:dyDescent="0.25">
      <c r="R1060"/>
      <c r="W1060" s="2"/>
    </row>
    <row r="1061" spans="18:23" x14ac:dyDescent="0.25">
      <c r="R1061"/>
      <c r="W1061" s="2"/>
    </row>
    <row r="1062" spans="18:23" x14ac:dyDescent="0.25">
      <c r="R1062"/>
      <c r="W1062" s="2"/>
    </row>
    <row r="1063" spans="18:23" x14ac:dyDescent="0.25">
      <c r="R1063"/>
      <c r="W1063" s="2"/>
    </row>
    <row r="1064" spans="18:23" x14ac:dyDescent="0.25">
      <c r="R1064"/>
      <c r="W1064" s="2"/>
    </row>
    <row r="1065" spans="18:23" x14ac:dyDescent="0.25">
      <c r="R1065"/>
      <c r="W1065" s="2"/>
    </row>
    <row r="1066" spans="18:23" x14ac:dyDescent="0.25">
      <c r="R1066"/>
      <c r="W1066" s="2"/>
    </row>
    <row r="1067" spans="18:23" x14ac:dyDescent="0.25">
      <c r="R1067"/>
      <c r="W1067" s="2"/>
    </row>
    <row r="1068" spans="18:23" x14ac:dyDescent="0.25">
      <c r="R1068"/>
      <c r="W1068" s="2"/>
    </row>
    <row r="1069" spans="18:23" x14ac:dyDescent="0.25">
      <c r="R1069"/>
      <c r="W1069" s="2"/>
    </row>
    <row r="1070" spans="18:23" x14ac:dyDescent="0.25">
      <c r="R1070"/>
      <c r="W1070" s="2"/>
    </row>
    <row r="1071" spans="18:23" x14ac:dyDescent="0.25">
      <c r="R1071"/>
      <c r="W1071" s="2"/>
    </row>
    <row r="1072" spans="18:23" x14ac:dyDescent="0.25">
      <c r="R1072"/>
      <c r="W1072" s="2"/>
    </row>
    <row r="1073" spans="18:23" x14ac:dyDescent="0.25">
      <c r="R1073"/>
      <c r="W1073" s="2"/>
    </row>
    <row r="1074" spans="18:23" x14ac:dyDescent="0.25">
      <c r="R1074"/>
      <c r="W1074" s="2"/>
    </row>
    <row r="1075" spans="18:23" x14ac:dyDescent="0.25">
      <c r="R1075"/>
      <c r="W1075" s="2"/>
    </row>
    <row r="1076" spans="18:23" x14ac:dyDescent="0.25">
      <c r="R1076"/>
      <c r="W1076" s="2"/>
    </row>
    <row r="1077" spans="18:23" x14ac:dyDescent="0.25">
      <c r="R1077"/>
      <c r="W1077" s="2"/>
    </row>
    <row r="1078" spans="18:23" x14ac:dyDescent="0.25">
      <c r="R1078"/>
      <c r="W1078" s="2"/>
    </row>
    <row r="1079" spans="18:23" x14ac:dyDescent="0.25">
      <c r="R1079"/>
      <c r="W1079" s="2"/>
    </row>
    <row r="1080" spans="18:23" x14ac:dyDescent="0.25">
      <c r="R1080"/>
      <c r="W1080" s="2"/>
    </row>
    <row r="1081" spans="18:23" x14ac:dyDescent="0.25">
      <c r="R1081"/>
      <c r="W1081" s="2"/>
    </row>
    <row r="1082" spans="18:23" x14ac:dyDescent="0.25">
      <c r="R1082"/>
      <c r="W1082" s="2"/>
    </row>
    <row r="1083" spans="18:23" x14ac:dyDescent="0.25">
      <c r="R1083"/>
      <c r="W1083" s="2"/>
    </row>
    <row r="1084" spans="18:23" x14ac:dyDescent="0.25">
      <c r="R1084"/>
      <c r="W1084" s="2"/>
    </row>
    <row r="1085" spans="18:23" x14ac:dyDescent="0.25">
      <c r="R1085"/>
      <c r="W1085" s="2"/>
    </row>
    <row r="1086" spans="18:23" x14ac:dyDescent="0.25">
      <c r="R1086"/>
      <c r="W1086" s="2"/>
    </row>
    <row r="1087" spans="18:23" x14ac:dyDescent="0.25">
      <c r="R1087"/>
      <c r="W1087" s="2"/>
    </row>
    <row r="1088" spans="18:23" x14ac:dyDescent="0.25">
      <c r="R1088"/>
      <c r="W1088" s="2"/>
    </row>
    <row r="1089" spans="18:23" x14ac:dyDescent="0.25">
      <c r="R1089"/>
      <c r="W1089" s="2"/>
    </row>
    <row r="1090" spans="18:23" x14ac:dyDescent="0.25">
      <c r="R1090"/>
      <c r="W1090" s="2"/>
    </row>
    <row r="1091" spans="18:23" x14ac:dyDescent="0.25">
      <c r="R1091"/>
      <c r="W1091" s="2"/>
    </row>
    <row r="1092" spans="18:23" x14ac:dyDescent="0.25">
      <c r="R1092"/>
      <c r="W1092" s="2"/>
    </row>
    <row r="1093" spans="18:23" x14ac:dyDescent="0.25">
      <c r="R1093"/>
      <c r="W1093" s="2"/>
    </row>
    <row r="1094" spans="18:23" x14ac:dyDescent="0.25">
      <c r="R1094"/>
      <c r="W1094" s="2"/>
    </row>
    <row r="1095" spans="18:23" x14ac:dyDescent="0.25">
      <c r="R1095"/>
      <c r="W1095" s="2"/>
    </row>
    <row r="1096" spans="18:23" x14ac:dyDescent="0.25">
      <c r="R1096"/>
      <c r="W1096" s="2"/>
    </row>
    <row r="1097" spans="18:23" x14ac:dyDescent="0.25">
      <c r="R1097"/>
      <c r="W1097" s="2"/>
    </row>
    <row r="1098" spans="18:23" x14ac:dyDescent="0.25">
      <c r="R1098"/>
      <c r="W1098" s="2"/>
    </row>
    <row r="1099" spans="18:23" x14ac:dyDescent="0.25">
      <c r="R1099"/>
      <c r="W1099" s="2"/>
    </row>
    <row r="1100" spans="18:23" x14ac:dyDescent="0.25">
      <c r="R1100"/>
      <c r="W1100" s="2"/>
    </row>
    <row r="1101" spans="18:23" x14ac:dyDescent="0.25">
      <c r="R1101"/>
      <c r="W1101" s="2"/>
    </row>
    <row r="1102" spans="18:23" x14ac:dyDescent="0.25">
      <c r="R1102"/>
      <c r="W1102" s="2"/>
    </row>
    <row r="1103" spans="18:23" x14ac:dyDescent="0.25">
      <c r="R1103"/>
      <c r="W1103" s="2"/>
    </row>
    <row r="1104" spans="18:23" x14ac:dyDescent="0.25">
      <c r="R1104"/>
      <c r="W1104" s="2"/>
    </row>
    <row r="1105" spans="18:23" x14ac:dyDescent="0.25">
      <c r="R1105"/>
      <c r="W1105" s="2"/>
    </row>
    <row r="1106" spans="18:23" x14ac:dyDescent="0.25">
      <c r="R1106"/>
      <c r="W1106" s="2"/>
    </row>
    <row r="1107" spans="18:23" x14ac:dyDescent="0.25">
      <c r="R1107"/>
      <c r="W1107" s="2"/>
    </row>
    <row r="1108" spans="18:23" x14ac:dyDescent="0.25">
      <c r="R1108"/>
      <c r="W1108" s="2"/>
    </row>
    <row r="1109" spans="18:23" x14ac:dyDescent="0.25">
      <c r="R1109"/>
      <c r="W1109" s="2"/>
    </row>
    <row r="1110" spans="18:23" x14ac:dyDescent="0.25">
      <c r="R1110"/>
      <c r="W1110" s="2"/>
    </row>
    <row r="1111" spans="18:23" x14ac:dyDescent="0.25">
      <c r="R1111"/>
      <c r="W1111" s="2"/>
    </row>
    <row r="1112" spans="18:23" x14ac:dyDescent="0.25">
      <c r="R1112"/>
      <c r="W1112" s="2"/>
    </row>
    <row r="1113" spans="18:23" x14ac:dyDescent="0.25">
      <c r="R1113"/>
      <c r="W1113" s="2"/>
    </row>
    <row r="1114" spans="18:23" x14ac:dyDescent="0.25">
      <c r="R1114"/>
      <c r="W1114" s="2"/>
    </row>
    <row r="1115" spans="18:23" x14ac:dyDescent="0.25">
      <c r="R1115"/>
      <c r="W1115" s="2"/>
    </row>
    <row r="1116" spans="18:23" x14ac:dyDescent="0.25">
      <c r="R1116"/>
      <c r="W1116" s="2"/>
    </row>
    <row r="1117" spans="18:23" x14ac:dyDescent="0.25">
      <c r="R1117"/>
      <c r="W1117" s="2"/>
    </row>
    <row r="1118" spans="18:23" x14ac:dyDescent="0.25">
      <c r="R1118"/>
      <c r="W1118" s="2"/>
    </row>
    <row r="1119" spans="18:23" x14ac:dyDescent="0.25">
      <c r="R1119"/>
      <c r="W1119" s="2"/>
    </row>
    <row r="1120" spans="18:23" x14ac:dyDescent="0.25">
      <c r="R1120"/>
      <c r="W1120" s="2"/>
    </row>
    <row r="1121" spans="18:23" x14ac:dyDescent="0.25">
      <c r="R1121"/>
      <c r="W1121" s="2"/>
    </row>
    <row r="1122" spans="18:23" x14ac:dyDescent="0.25">
      <c r="R1122"/>
      <c r="W1122" s="2"/>
    </row>
    <row r="1123" spans="18:23" x14ac:dyDescent="0.25">
      <c r="R1123"/>
      <c r="W1123" s="2"/>
    </row>
    <row r="1124" spans="18:23" x14ac:dyDescent="0.25">
      <c r="R1124"/>
      <c r="W1124" s="2"/>
    </row>
    <row r="1125" spans="18:23" x14ac:dyDescent="0.25">
      <c r="R1125"/>
      <c r="W1125" s="2"/>
    </row>
    <row r="1126" spans="18:23" x14ac:dyDescent="0.25">
      <c r="R1126"/>
      <c r="W1126" s="2"/>
    </row>
    <row r="1127" spans="18:23" x14ac:dyDescent="0.25">
      <c r="R1127"/>
      <c r="W1127" s="2"/>
    </row>
    <row r="1128" spans="18:23" x14ac:dyDescent="0.25">
      <c r="R1128"/>
      <c r="W1128" s="2"/>
    </row>
    <row r="1129" spans="18:23" x14ac:dyDescent="0.25">
      <c r="R1129"/>
      <c r="W1129" s="2"/>
    </row>
    <row r="1130" spans="18:23" x14ac:dyDescent="0.25">
      <c r="R1130"/>
      <c r="W1130" s="2"/>
    </row>
    <row r="1131" spans="18:23" x14ac:dyDescent="0.25">
      <c r="R1131"/>
      <c r="W1131" s="2"/>
    </row>
    <row r="1132" spans="18:23" x14ac:dyDescent="0.25">
      <c r="R1132"/>
      <c r="W1132" s="2"/>
    </row>
    <row r="1133" spans="18:23" x14ac:dyDescent="0.25">
      <c r="R1133"/>
      <c r="W1133" s="2"/>
    </row>
    <row r="1134" spans="18:23" x14ac:dyDescent="0.25">
      <c r="R1134"/>
      <c r="W1134" s="2"/>
    </row>
    <row r="1135" spans="18:23" x14ac:dyDescent="0.25">
      <c r="R1135"/>
      <c r="W1135" s="2"/>
    </row>
    <row r="1136" spans="18:23" x14ac:dyDescent="0.25">
      <c r="R1136"/>
      <c r="W1136" s="2"/>
    </row>
    <row r="1137" spans="18:23" x14ac:dyDescent="0.25">
      <c r="R1137"/>
      <c r="W1137" s="2"/>
    </row>
    <row r="1138" spans="18:23" x14ac:dyDescent="0.25">
      <c r="R1138"/>
      <c r="W1138" s="2"/>
    </row>
    <row r="1139" spans="18:23" x14ac:dyDescent="0.25">
      <c r="R1139"/>
      <c r="W1139" s="2"/>
    </row>
    <row r="1140" spans="18:23" x14ac:dyDescent="0.25">
      <c r="R1140"/>
      <c r="W1140" s="2"/>
    </row>
    <row r="1141" spans="18:23" x14ac:dyDescent="0.25">
      <c r="R1141"/>
      <c r="W1141" s="2"/>
    </row>
    <row r="1142" spans="18:23" x14ac:dyDescent="0.25">
      <c r="R1142"/>
      <c r="W1142" s="2"/>
    </row>
    <row r="1143" spans="18:23" x14ac:dyDescent="0.25">
      <c r="R1143"/>
      <c r="W1143" s="2"/>
    </row>
    <row r="1144" spans="18:23" x14ac:dyDescent="0.25">
      <c r="R1144"/>
      <c r="W1144" s="2"/>
    </row>
    <row r="1145" spans="18:23" x14ac:dyDescent="0.25">
      <c r="R1145"/>
      <c r="W1145" s="2"/>
    </row>
    <row r="1146" spans="18:23" x14ac:dyDescent="0.25">
      <c r="R1146"/>
      <c r="W1146" s="2"/>
    </row>
    <row r="1147" spans="18:23" x14ac:dyDescent="0.25">
      <c r="R1147"/>
      <c r="W1147" s="2"/>
    </row>
    <row r="1148" spans="18:23" x14ac:dyDescent="0.25">
      <c r="R1148"/>
      <c r="W1148" s="2"/>
    </row>
    <row r="1149" spans="18:23" x14ac:dyDescent="0.25">
      <c r="R1149"/>
      <c r="W1149" s="2"/>
    </row>
    <row r="1150" spans="18:23" x14ac:dyDescent="0.25">
      <c r="R1150"/>
      <c r="W1150" s="2"/>
    </row>
    <row r="1151" spans="18:23" x14ac:dyDescent="0.25">
      <c r="R1151"/>
      <c r="W1151" s="2"/>
    </row>
    <row r="1152" spans="18:23" x14ac:dyDescent="0.25">
      <c r="R1152"/>
      <c r="W1152" s="2"/>
    </row>
    <row r="1153" spans="18:23" x14ac:dyDescent="0.25">
      <c r="R1153"/>
      <c r="W1153" s="2"/>
    </row>
    <row r="1154" spans="18:23" x14ac:dyDescent="0.25">
      <c r="R1154"/>
      <c r="W1154" s="2"/>
    </row>
    <row r="1155" spans="18:23" x14ac:dyDescent="0.25">
      <c r="R1155"/>
      <c r="W1155" s="2"/>
    </row>
    <row r="1156" spans="18:23" x14ac:dyDescent="0.25">
      <c r="R1156"/>
      <c r="W1156" s="2"/>
    </row>
    <row r="1157" spans="18:23" x14ac:dyDescent="0.25">
      <c r="R1157"/>
      <c r="W1157" s="2"/>
    </row>
    <row r="1158" spans="18:23" x14ac:dyDescent="0.25">
      <c r="R1158"/>
      <c r="W1158" s="2"/>
    </row>
    <row r="1159" spans="18:23" x14ac:dyDescent="0.25">
      <c r="R1159"/>
      <c r="W1159" s="2"/>
    </row>
    <row r="1160" spans="18:23" x14ac:dyDescent="0.25">
      <c r="R1160"/>
      <c r="W1160" s="2"/>
    </row>
    <row r="1161" spans="18:23" x14ac:dyDescent="0.25">
      <c r="R1161"/>
      <c r="W1161" s="2"/>
    </row>
    <row r="1162" spans="18:23" x14ac:dyDescent="0.25">
      <c r="R1162"/>
      <c r="W1162" s="2"/>
    </row>
    <row r="1163" spans="18:23" x14ac:dyDescent="0.25">
      <c r="R1163"/>
      <c r="W1163" s="2"/>
    </row>
    <row r="1164" spans="18:23" x14ac:dyDescent="0.25">
      <c r="R1164"/>
      <c r="W1164" s="2"/>
    </row>
    <row r="1165" spans="18:23" x14ac:dyDescent="0.25">
      <c r="R1165"/>
      <c r="W1165" s="2"/>
    </row>
    <row r="1166" spans="18:23" x14ac:dyDescent="0.25">
      <c r="R1166"/>
      <c r="W1166" s="2"/>
    </row>
    <row r="1167" spans="18:23" x14ac:dyDescent="0.25">
      <c r="R1167"/>
      <c r="W1167" s="2"/>
    </row>
    <row r="1168" spans="18:23" x14ac:dyDescent="0.25">
      <c r="R1168"/>
      <c r="W1168" s="2"/>
    </row>
    <row r="1169" spans="18:23" x14ac:dyDescent="0.25">
      <c r="R1169"/>
      <c r="W1169" s="2"/>
    </row>
    <row r="1170" spans="18:23" x14ac:dyDescent="0.25">
      <c r="R1170"/>
      <c r="W1170" s="2"/>
    </row>
    <row r="1171" spans="18:23" x14ac:dyDescent="0.25">
      <c r="R1171"/>
      <c r="W1171" s="2"/>
    </row>
    <row r="1172" spans="18:23" x14ac:dyDescent="0.25">
      <c r="R1172"/>
      <c r="W1172" s="2"/>
    </row>
    <row r="1173" spans="18:23" x14ac:dyDescent="0.25">
      <c r="R1173"/>
      <c r="W1173" s="2"/>
    </row>
    <row r="1174" spans="18:23" x14ac:dyDescent="0.25">
      <c r="R1174"/>
      <c r="W1174" s="2"/>
    </row>
    <row r="1175" spans="18:23" x14ac:dyDescent="0.25">
      <c r="R1175"/>
      <c r="W1175" s="2"/>
    </row>
    <row r="1176" spans="18:23" x14ac:dyDescent="0.25">
      <c r="R1176"/>
      <c r="W1176" s="2"/>
    </row>
    <row r="1177" spans="18:23" x14ac:dyDescent="0.25">
      <c r="R1177"/>
      <c r="W1177" s="2"/>
    </row>
    <row r="1178" spans="18:23" x14ac:dyDescent="0.25">
      <c r="R1178"/>
      <c r="W1178" s="2"/>
    </row>
    <row r="1179" spans="18:23" x14ac:dyDescent="0.25">
      <c r="R1179"/>
      <c r="W1179" s="2"/>
    </row>
    <row r="1180" spans="18:23" x14ac:dyDescent="0.25">
      <c r="R1180"/>
      <c r="W1180" s="2"/>
    </row>
    <row r="1181" spans="18:23" x14ac:dyDescent="0.25">
      <c r="R1181"/>
      <c r="W1181" s="2"/>
    </row>
    <row r="1182" spans="18:23" x14ac:dyDescent="0.25">
      <c r="R1182"/>
      <c r="W1182" s="2"/>
    </row>
    <row r="1183" spans="18:23" x14ac:dyDescent="0.25">
      <c r="R1183"/>
      <c r="W1183" s="2"/>
    </row>
    <row r="1184" spans="18:23" x14ac:dyDescent="0.25">
      <c r="R1184"/>
      <c r="W1184" s="2"/>
    </row>
    <row r="1185" spans="18:23" x14ac:dyDescent="0.25">
      <c r="R1185"/>
      <c r="W1185" s="2"/>
    </row>
    <row r="1186" spans="18:23" x14ac:dyDescent="0.25">
      <c r="R1186"/>
      <c r="W1186" s="2"/>
    </row>
    <row r="1187" spans="18:23" x14ac:dyDescent="0.25">
      <c r="R1187"/>
      <c r="W1187" s="2"/>
    </row>
    <row r="1188" spans="18:23" x14ac:dyDescent="0.25">
      <c r="R1188"/>
      <c r="W1188" s="2"/>
    </row>
    <row r="1189" spans="18:23" x14ac:dyDescent="0.25">
      <c r="R1189"/>
      <c r="W1189" s="2"/>
    </row>
    <row r="1190" spans="18:23" x14ac:dyDescent="0.25">
      <c r="R1190"/>
      <c r="W1190" s="2"/>
    </row>
    <row r="1191" spans="18:23" x14ac:dyDescent="0.25">
      <c r="R1191"/>
      <c r="W1191" s="2"/>
    </row>
    <row r="1192" spans="18:23" x14ac:dyDescent="0.25">
      <c r="R1192"/>
      <c r="W1192" s="2"/>
    </row>
    <row r="1193" spans="18:23" x14ac:dyDescent="0.25">
      <c r="R1193"/>
      <c r="W1193" s="2"/>
    </row>
    <row r="1194" spans="18:23" x14ac:dyDescent="0.25">
      <c r="R1194"/>
      <c r="W1194" s="2"/>
    </row>
    <row r="1195" spans="18:23" x14ac:dyDescent="0.25">
      <c r="R1195"/>
      <c r="W1195" s="2"/>
    </row>
    <row r="1196" spans="18:23" x14ac:dyDescent="0.25">
      <c r="R1196"/>
      <c r="W1196" s="2"/>
    </row>
    <row r="1197" spans="18:23" x14ac:dyDescent="0.25">
      <c r="R1197"/>
      <c r="W1197" s="2"/>
    </row>
    <row r="1198" spans="18:23" x14ac:dyDescent="0.25">
      <c r="R1198"/>
      <c r="W1198" s="2"/>
    </row>
    <row r="1199" spans="18:23" x14ac:dyDescent="0.25">
      <c r="R1199"/>
      <c r="W1199" s="2"/>
    </row>
    <row r="1200" spans="18:23" x14ac:dyDescent="0.25">
      <c r="R1200"/>
      <c r="W1200" s="2"/>
    </row>
    <row r="1201" spans="18:23" x14ac:dyDescent="0.25">
      <c r="R1201"/>
      <c r="W1201" s="2"/>
    </row>
    <row r="1202" spans="18:23" x14ac:dyDescent="0.25">
      <c r="R1202"/>
      <c r="W1202" s="2"/>
    </row>
    <row r="1203" spans="18:23" x14ac:dyDescent="0.25">
      <c r="R1203"/>
      <c r="W1203" s="2"/>
    </row>
    <row r="1204" spans="18:23" x14ac:dyDescent="0.25">
      <c r="R1204"/>
      <c r="W1204" s="2"/>
    </row>
    <row r="1205" spans="18:23" x14ac:dyDescent="0.25">
      <c r="R1205"/>
      <c r="W1205" s="2"/>
    </row>
    <row r="1206" spans="18:23" x14ac:dyDescent="0.25">
      <c r="R1206"/>
      <c r="W1206" s="2"/>
    </row>
    <row r="1207" spans="18:23" x14ac:dyDescent="0.25">
      <c r="R1207"/>
      <c r="W1207" s="2"/>
    </row>
    <row r="1208" spans="18:23" x14ac:dyDescent="0.25">
      <c r="R1208"/>
      <c r="W1208" s="2"/>
    </row>
    <row r="1209" spans="18:23" x14ac:dyDescent="0.25">
      <c r="R1209"/>
      <c r="W1209" s="2"/>
    </row>
    <row r="1210" spans="18:23" x14ac:dyDescent="0.25">
      <c r="R1210"/>
      <c r="W1210" s="2"/>
    </row>
    <row r="1211" spans="18:23" x14ac:dyDescent="0.25">
      <c r="R1211"/>
      <c r="W1211" s="2"/>
    </row>
    <row r="1212" spans="18:23" x14ac:dyDescent="0.25">
      <c r="R1212"/>
      <c r="W1212" s="2"/>
    </row>
    <row r="1213" spans="18:23" x14ac:dyDescent="0.25">
      <c r="R1213"/>
      <c r="W1213" s="2"/>
    </row>
    <row r="1214" spans="18:23" x14ac:dyDescent="0.25">
      <c r="R1214"/>
      <c r="W1214" s="2"/>
    </row>
    <row r="1215" spans="18:23" x14ac:dyDescent="0.25">
      <c r="R1215"/>
      <c r="W1215" s="2"/>
    </row>
    <row r="1216" spans="18:23" x14ac:dyDescent="0.25">
      <c r="R1216"/>
      <c r="W1216" s="2"/>
    </row>
    <row r="1217" spans="18:23" x14ac:dyDescent="0.25">
      <c r="R1217"/>
      <c r="W1217" s="2"/>
    </row>
    <row r="1218" spans="18:23" x14ac:dyDescent="0.25">
      <c r="R1218"/>
      <c r="W1218" s="2"/>
    </row>
    <row r="1219" spans="18:23" x14ac:dyDescent="0.25">
      <c r="R1219"/>
      <c r="W1219" s="2"/>
    </row>
    <row r="1220" spans="18:23" x14ac:dyDescent="0.25">
      <c r="R1220"/>
      <c r="W1220" s="2"/>
    </row>
    <row r="1221" spans="18:23" x14ac:dyDescent="0.25">
      <c r="R1221"/>
      <c r="W1221" s="2"/>
    </row>
    <row r="1222" spans="18:23" x14ac:dyDescent="0.25">
      <c r="R1222"/>
      <c r="W1222" s="2"/>
    </row>
    <row r="1223" spans="18:23" x14ac:dyDescent="0.25">
      <c r="R1223"/>
      <c r="W1223" s="2"/>
    </row>
    <row r="1224" spans="18:23" x14ac:dyDescent="0.25">
      <c r="R1224"/>
      <c r="W1224" s="2"/>
    </row>
    <row r="1225" spans="18:23" x14ac:dyDescent="0.25">
      <c r="R1225"/>
      <c r="W1225" s="2"/>
    </row>
    <row r="1226" spans="18:23" x14ac:dyDescent="0.25">
      <c r="R1226"/>
      <c r="W1226" s="2"/>
    </row>
    <row r="1227" spans="18:23" x14ac:dyDescent="0.25">
      <c r="R1227"/>
      <c r="W1227" s="2"/>
    </row>
    <row r="1228" spans="18:23" x14ac:dyDescent="0.25">
      <c r="R1228"/>
      <c r="W1228" s="2"/>
    </row>
    <row r="1229" spans="18:23" x14ac:dyDescent="0.25">
      <c r="R1229"/>
      <c r="W1229" s="2"/>
    </row>
    <row r="1230" spans="18:23" x14ac:dyDescent="0.25">
      <c r="R1230"/>
      <c r="W1230" s="2"/>
    </row>
    <row r="1231" spans="18:23" x14ac:dyDescent="0.25">
      <c r="R1231"/>
      <c r="W1231" s="2"/>
    </row>
    <row r="1232" spans="18:23" x14ac:dyDescent="0.25">
      <c r="R1232"/>
      <c r="W1232" s="2"/>
    </row>
    <row r="1233" spans="18:23" x14ac:dyDescent="0.25">
      <c r="R1233"/>
      <c r="W1233" s="2"/>
    </row>
    <row r="1234" spans="18:23" x14ac:dyDescent="0.25">
      <c r="R1234"/>
      <c r="W1234" s="2"/>
    </row>
    <row r="1235" spans="18:23" x14ac:dyDescent="0.25">
      <c r="R1235"/>
      <c r="W1235" s="2"/>
    </row>
    <row r="1236" spans="18:23" x14ac:dyDescent="0.25">
      <c r="R1236"/>
      <c r="W1236" s="2"/>
    </row>
    <row r="1237" spans="18:23" x14ac:dyDescent="0.25">
      <c r="R1237"/>
      <c r="W1237" s="2"/>
    </row>
    <row r="1238" spans="18:23" x14ac:dyDescent="0.25">
      <c r="R1238"/>
      <c r="W1238" s="2"/>
    </row>
    <row r="1239" spans="18:23" x14ac:dyDescent="0.25">
      <c r="R1239"/>
      <c r="W1239" s="2"/>
    </row>
    <row r="1240" spans="18:23" x14ac:dyDescent="0.25">
      <c r="R1240"/>
      <c r="W1240" s="2"/>
    </row>
    <row r="1241" spans="18:23" x14ac:dyDescent="0.25">
      <c r="R1241"/>
      <c r="W1241" s="2"/>
    </row>
    <row r="1242" spans="18:23" x14ac:dyDescent="0.25">
      <c r="R1242"/>
      <c r="W1242" s="2"/>
    </row>
    <row r="1243" spans="18:23" x14ac:dyDescent="0.25">
      <c r="R1243"/>
      <c r="W1243" s="2"/>
    </row>
    <row r="1244" spans="18:23" x14ac:dyDescent="0.25">
      <c r="R1244"/>
      <c r="W1244" s="2"/>
    </row>
    <row r="1245" spans="18:23" x14ac:dyDescent="0.25">
      <c r="R1245"/>
      <c r="W1245" s="2"/>
    </row>
    <row r="1246" spans="18:23" x14ac:dyDescent="0.25">
      <c r="R1246"/>
      <c r="W1246" s="2"/>
    </row>
    <row r="1247" spans="18:23" x14ac:dyDescent="0.25">
      <c r="R1247"/>
      <c r="W1247" s="2"/>
    </row>
    <row r="1248" spans="18:23" x14ac:dyDescent="0.25">
      <c r="R1248"/>
      <c r="W1248" s="2"/>
    </row>
    <row r="1249" spans="18:23" x14ac:dyDescent="0.25">
      <c r="R1249"/>
      <c r="W1249" s="2"/>
    </row>
    <row r="1250" spans="18:23" x14ac:dyDescent="0.25">
      <c r="R1250"/>
      <c r="W1250" s="2"/>
    </row>
    <row r="1251" spans="18:23" x14ac:dyDescent="0.25">
      <c r="R1251"/>
      <c r="W1251" s="2"/>
    </row>
    <row r="1252" spans="18:23" x14ac:dyDescent="0.25">
      <c r="R1252"/>
      <c r="W1252" s="2"/>
    </row>
    <row r="1253" spans="18:23" x14ac:dyDescent="0.25">
      <c r="R1253"/>
      <c r="W1253" s="2"/>
    </row>
    <row r="1254" spans="18:23" x14ac:dyDescent="0.25">
      <c r="R1254"/>
      <c r="W1254" s="2"/>
    </row>
    <row r="1255" spans="18:23" x14ac:dyDescent="0.25">
      <c r="R1255"/>
      <c r="W1255" s="2"/>
    </row>
    <row r="1256" spans="18:23" x14ac:dyDescent="0.25">
      <c r="R1256"/>
      <c r="W1256" s="2"/>
    </row>
    <row r="1257" spans="18:23" x14ac:dyDescent="0.25">
      <c r="R1257"/>
      <c r="W1257" s="2"/>
    </row>
    <row r="1258" spans="18:23" x14ac:dyDescent="0.25">
      <c r="R1258"/>
      <c r="W1258" s="2"/>
    </row>
    <row r="1259" spans="18:23" x14ac:dyDescent="0.25">
      <c r="R1259"/>
      <c r="W1259" s="2"/>
    </row>
    <row r="1260" spans="18:23" x14ac:dyDescent="0.25">
      <c r="R1260"/>
      <c r="W1260" s="2"/>
    </row>
    <row r="1261" spans="18:23" x14ac:dyDescent="0.25">
      <c r="R1261"/>
      <c r="W1261" s="2"/>
    </row>
    <row r="1262" spans="18:23" x14ac:dyDescent="0.25">
      <c r="R1262"/>
      <c r="W1262" s="2"/>
    </row>
    <row r="1263" spans="18:23" x14ac:dyDescent="0.25">
      <c r="R1263"/>
      <c r="W1263" s="2"/>
    </row>
    <row r="1264" spans="18:23" x14ac:dyDescent="0.25">
      <c r="R1264"/>
      <c r="W1264" s="2"/>
    </row>
    <row r="1265" spans="18:23" x14ac:dyDescent="0.25">
      <c r="R1265"/>
      <c r="W1265" s="2"/>
    </row>
    <row r="1266" spans="18:23" x14ac:dyDescent="0.25">
      <c r="R1266"/>
      <c r="W1266" s="2"/>
    </row>
    <row r="1267" spans="18:23" x14ac:dyDescent="0.25">
      <c r="R1267"/>
      <c r="W1267" s="2"/>
    </row>
    <row r="1268" spans="18:23" x14ac:dyDescent="0.25">
      <c r="R1268"/>
      <c r="W1268" s="2"/>
    </row>
    <row r="1269" spans="18:23" x14ac:dyDescent="0.25">
      <c r="R1269"/>
      <c r="W1269" s="2"/>
    </row>
    <row r="1270" spans="18:23" x14ac:dyDescent="0.25">
      <c r="R1270"/>
      <c r="W1270" s="2"/>
    </row>
    <row r="1271" spans="18:23" x14ac:dyDescent="0.25">
      <c r="R1271"/>
      <c r="W1271" s="2"/>
    </row>
    <row r="1272" spans="18:23" x14ac:dyDescent="0.25">
      <c r="R1272"/>
      <c r="W1272" s="2"/>
    </row>
    <row r="1273" spans="18:23" x14ac:dyDescent="0.25">
      <c r="R1273"/>
      <c r="W1273" s="2"/>
    </row>
    <row r="1274" spans="18:23" x14ac:dyDescent="0.25">
      <c r="R1274"/>
      <c r="W1274" s="2"/>
    </row>
    <row r="1275" spans="18:23" x14ac:dyDescent="0.25">
      <c r="R1275"/>
      <c r="W1275" s="2"/>
    </row>
    <row r="1276" spans="18:23" x14ac:dyDescent="0.25">
      <c r="R1276"/>
      <c r="W1276" s="2"/>
    </row>
    <row r="1277" spans="18:23" x14ac:dyDescent="0.25">
      <c r="R1277"/>
      <c r="W1277" s="2"/>
    </row>
    <row r="1278" spans="18:23" x14ac:dyDescent="0.25">
      <c r="R1278"/>
      <c r="W1278" s="2"/>
    </row>
    <row r="1279" spans="18:23" x14ac:dyDescent="0.25">
      <c r="R1279"/>
      <c r="W1279" s="2"/>
    </row>
    <row r="1280" spans="18:23" x14ac:dyDescent="0.25">
      <c r="R1280"/>
      <c r="W1280" s="2"/>
    </row>
    <row r="1281" spans="18:23" x14ac:dyDescent="0.25">
      <c r="R1281"/>
      <c r="W1281" s="2"/>
    </row>
    <row r="1282" spans="18:23" x14ac:dyDescent="0.25">
      <c r="R1282"/>
      <c r="W1282" s="2"/>
    </row>
    <row r="1283" spans="18:23" x14ac:dyDescent="0.25">
      <c r="R1283"/>
      <c r="W1283" s="2"/>
    </row>
    <row r="1284" spans="18:23" x14ac:dyDescent="0.25">
      <c r="R1284"/>
      <c r="W1284" s="2"/>
    </row>
    <row r="1285" spans="18:23" x14ac:dyDescent="0.25">
      <c r="R1285"/>
      <c r="W1285" s="2"/>
    </row>
    <row r="1286" spans="18:23" x14ac:dyDescent="0.25">
      <c r="R1286"/>
      <c r="W1286" s="2"/>
    </row>
    <row r="1287" spans="18:23" x14ac:dyDescent="0.25">
      <c r="R1287"/>
      <c r="W1287" s="2"/>
    </row>
    <row r="1288" spans="18:23" x14ac:dyDescent="0.25">
      <c r="R1288"/>
      <c r="W1288" s="2"/>
    </row>
    <row r="1289" spans="18:23" x14ac:dyDescent="0.25">
      <c r="R1289"/>
      <c r="W1289" s="2"/>
    </row>
    <row r="1290" spans="18:23" x14ac:dyDescent="0.25">
      <c r="R1290"/>
      <c r="W1290" s="2"/>
    </row>
    <row r="1291" spans="18:23" x14ac:dyDescent="0.25">
      <c r="R1291"/>
      <c r="W1291" s="2"/>
    </row>
    <row r="1292" spans="18:23" x14ac:dyDescent="0.25">
      <c r="R1292"/>
      <c r="W1292" s="2"/>
    </row>
    <row r="1293" spans="18:23" x14ac:dyDescent="0.25">
      <c r="R1293"/>
      <c r="W1293" s="2"/>
    </row>
    <row r="1294" spans="18:23" x14ac:dyDescent="0.25">
      <c r="R1294"/>
      <c r="W1294" s="2"/>
    </row>
    <row r="1295" spans="18:23" x14ac:dyDescent="0.25">
      <c r="R1295"/>
      <c r="W1295" s="2"/>
    </row>
    <row r="1296" spans="18:23" x14ac:dyDescent="0.25">
      <c r="R1296"/>
      <c r="W1296" s="2"/>
    </row>
    <row r="1297" spans="18:23" x14ac:dyDescent="0.25">
      <c r="R1297"/>
      <c r="W1297" s="2"/>
    </row>
    <row r="1298" spans="18:23" x14ac:dyDescent="0.25">
      <c r="R1298"/>
      <c r="W1298" s="2"/>
    </row>
    <row r="1299" spans="18:23" x14ac:dyDescent="0.25">
      <c r="R1299"/>
      <c r="W1299" s="2"/>
    </row>
    <row r="1300" spans="18:23" x14ac:dyDescent="0.25">
      <c r="R1300"/>
      <c r="W1300" s="2"/>
    </row>
    <row r="1301" spans="18:23" x14ac:dyDescent="0.25">
      <c r="R1301"/>
      <c r="W1301" s="2"/>
    </row>
    <row r="1302" spans="18:23" x14ac:dyDescent="0.25">
      <c r="R1302"/>
      <c r="W1302" s="2"/>
    </row>
    <row r="1303" spans="18:23" x14ac:dyDescent="0.25">
      <c r="R1303"/>
      <c r="W1303" s="2"/>
    </row>
    <row r="1304" spans="18:23" x14ac:dyDescent="0.25">
      <c r="R1304"/>
      <c r="W1304" s="2"/>
    </row>
    <row r="1305" spans="18:23" x14ac:dyDescent="0.25">
      <c r="R1305"/>
      <c r="W1305" s="2"/>
    </row>
    <row r="1306" spans="18:23" x14ac:dyDescent="0.25">
      <c r="R1306"/>
      <c r="W1306" s="2"/>
    </row>
    <row r="1307" spans="18:23" x14ac:dyDescent="0.25">
      <c r="R1307"/>
      <c r="W1307" s="2"/>
    </row>
    <row r="1308" spans="18:23" x14ac:dyDescent="0.25">
      <c r="R1308"/>
      <c r="W1308" s="2"/>
    </row>
    <row r="1309" spans="18:23" x14ac:dyDescent="0.25">
      <c r="R1309"/>
      <c r="W1309" s="2"/>
    </row>
    <row r="1310" spans="18:23" x14ac:dyDescent="0.25">
      <c r="R1310"/>
      <c r="W1310" s="2"/>
    </row>
    <row r="1311" spans="18:23" x14ac:dyDescent="0.25">
      <c r="R1311"/>
      <c r="W1311" s="2"/>
    </row>
    <row r="1312" spans="18:23" x14ac:dyDescent="0.25">
      <c r="R1312"/>
      <c r="W1312" s="2"/>
    </row>
    <row r="1313" spans="18:23" x14ac:dyDescent="0.25">
      <c r="R1313"/>
      <c r="W1313" s="2"/>
    </row>
    <row r="1314" spans="18:23" x14ac:dyDescent="0.25">
      <c r="R1314"/>
      <c r="W1314" s="2"/>
    </row>
    <row r="1315" spans="18:23" x14ac:dyDescent="0.25">
      <c r="R1315"/>
      <c r="W1315" s="2"/>
    </row>
    <row r="1316" spans="18:23" x14ac:dyDescent="0.25">
      <c r="R1316"/>
      <c r="W1316" s="2"/>
    </row>
    <row r="1317" spans="18:23" x14ac:dyDescent="0.25">
      <c r="R1317"/>
      <c r="W1317" s="2"/>
    </row>
    <row r="1318" spans="18:23" x14ac:dyDescent="0.25">
      <c r="R1318"/>
      <c r="W1318" s="2"/>
    </row>
    <row r="1319" spans="18:23" x14ac:dyDescent="0.25">
      <c r="R1319"/>
      <c r="W1319" s="2"/>
    </row>
    <row r="1320" spans="18:23" x14ac:dyDescent="0.25">
      <c r="R1320"/>
      <c r="W1320" s="2"/>
    </row>
    <row r="1321" spans="18:23" x14ac:dyDescent="0.25">
      <c r="R1321"/>
      <c r="W1321" s="2"/>
    </row>
    <row r="1322" spans="18:23" x14ac:dyDescent="0.25">
      <c r="R1322"/>
      <c r="W1322" s="2"/>
    </row>
    <row r="1323" spans="18:23" x14ac:dyDescent="0.25">
      <c r="R1323"/>
      <c r="W1323" s="2"/>
    </row>
    <row r="1324" spans="18:23" x14ac:dyDescent="0.25">
      <c r="R1324"/>
      <c r="W1324" s="2"/>
    </row>
    <row r="1325" spans="18:23" x14ac:dyDescent="0.25">
      <c r="R1325"/>
      <c r="W1325" s="2"/>
    </row>
    <row r="1326" spans="18:23" x14ac:dyDescent="0.25">
      <c r="R1326"/>
      <c r="W1326" s="2"/>
    </row>
    <row r="1327" spans="18:23" x14ac:dyDescent="0.25">
      <c r="R1327"/>
      <c r="W1327" s="2"/>
    </row>
    <row r="1328" spans="18:23" x14ac:dyDescent="0.25">
      <c r="R1328"/>
      <c r="W1328" s="2"/>
    </row>
    <row r="1329" spans="18:23" x14ac:dyDescent="0.25">
      <c r="R1329"/>
      <c r="W1329" s="2"/>
    </row>
    <row r="1330" spans="18:23" x14ac:dyDescent="0.25">
      <c r="R1330"/>
      <c r="W1330" s="2"/>
    </row>
    <row r="1331" spans="18:23" x14ac:dyDescent="0.25">
      <c r="R1331"/>
      <c r="W1331" s="2"/>
    </row>
    <row r="1332" spans="18:23" x14ac:dyDescent="0.25">
      <c r="R1332"/>
      <c r="W1332" s="2"/>
    </row>
    <row r="1333" spans="18:23" x14ac:dyDescent="0.25">
      <c r="R1333"/>
      <c r="W1333" s="2"/>
    </row>
    <row r="1334" spans="18:23" x14ac:dyDescent="0.25">
      <c r="R1334"/>
      <c r="W1334" s="2"/>
    </row>
    <row r="1335" spans="18:23" x14ac:dyDescent="0.25">
      <c r="R1335"/>
      <c r="W1335" s="2"/>
    </row>
    <row r="1336" spans="18:23" x14ac:dyDescent="0.25">
      <c r="R1336"/>
      <c r="W1336" s="2"/>
    </row>
    <row r="1337" spans="18:23" x14ac:dyDescent="0.25">
      <c r="R1337"/>
      <c r="W1337" s="2"/>
    </row>
    <row r="1338" spans="18:23" x14ac:dyDescent="0.25">
      <c r="R1338"/>
      <c r="W1338" s="2"/>
    </row>
    <row r="1339" spans="18:23" x14ac:dyDescent="0.25">
      <c r="R1339"/>
      <c r="W1339" s="2"/>
    </row>
    <row r="1340" spans="18:23" x14ac:dyDescent="0.25">
      <c r="R1340"/>
      <c r="W1340" s="2"/>
    </row>
    <row r="1341" spans="18:23" x14ac:dyDescent="0.25">
      <c r="R1341"/>
      <c r="W1341" s="2"/>
    </row>
    <row r="1342" spans="18:23" x14ac:dyDescent="0.25">
      <c r="R1342"/>
      <c r="W1342" s="2"/>
    </row>
    <row r="1343" spans="18:23" x14ac:dyDescent="0.25">
      <c r="R1343"/>
      <c r="W1343" s="2"/>
    </row>
    <row r="1344" spans="18:23" x14ac:dyDescent="0.25">
      <c r="R1344"/>
      <c r="W1344" s="2"/>
    </row>
    <row r="1345" spans="18:23" x14ac:dyDescent="0.25">
      <c r="R1345"/>
      <c r="W1345" s="2"/>
    </row>
    <row r="1346" spans="18:23" x14ac:dyDescent="0.25">
      <c r="R1346"/>
      <c r="W1346" s="2"/>
    </row>
    <row r="1347" spans="18:23" x14ac:dyDescent="0.25">
      <c r="R1347"/>
      <c r="W1347" s="2"/>
    </row>
    <row r="1348" spans="18:23" x14ac:dyDescent="0.25">
      <c r="R1348"/>
      <c r="W1348" s="2"/>
    </row>
    <row r="1349" spans="18:23" x14ac:dyDescent="0.25">
      <c r="R1349"/>
      <c r="W1349" s="2"/>
    </row>
    <row r="1350" spans="18:23" x14ac:dyDescent="0.25">
      <c r="R1350"/>
      <c r="W1350" s="2"/>
    </row>
    <row r="1351" spans="18:23" x14ac:dyDescent="0.25">
      <c r="R1351"/>
      <c r="W1351" s="2"/>
    </row>
    <row r="1352" spans="18:23" x14ac:dyDescent="0.25">
      <c r="R1352"/>
      <c r="W1352" s="2"/>
    </row>
    <row r="1353" spans="18:23" x14ac:dyDescent="0.25">
      <c r="R1353"/>
      <c r="W1353" s="2"/>
    </row>
    <row r="1354" spans="18:23" x14ac:dyDescent="0.25">
      <c r="R1354"/>
      <c r="W1354" s="2"/>
    </row>
    <row r="1355" spans="18:23" x14ac:dyDescent="0.25">
      <c r="R1355"/>
      <c r="W1355" s="2"/>
    </row>
    <row r="1356" spans="18:23" x14ac:dyDescent="0.25">
      <c r="R1356"/>
      <c r="W1356" s="2"/>
    </row>
    <row r="1357" spans="18:23" x14ac:dyDescent="0.25">
      <c r="R1357"/>
      <c r="W1357" s="2"/>
    </row>
    <row r="1358" spans="18:23" x14ac:dyDescent="0.25">
      <c r="R1358"/>
      <c r="W1358" s="2"/>
    </row>
    <row r="1359" spans="18:23" x14ac:dyDescent="0.25">
      <c r="R1359"/>
      <c r="W1359" s="2"/>
    </row>
    <row r="1360" spans="18:23" x14ac:dyDescent="0.25">
      <c r="R1360"/>
      <c r="W1360" s="2"/>
    </row>
    <row r="1361" spans="18:23" x14ac:dyDescent="0.25">
      <c r="R1361"/>
      <c r="W1361" s="2"/>
    </row>
    <row r="1362" spans="18:23" x14ac:dyDescent="0.25">
      <c r="R1362"/>
      <c r="W1362" s="2"/>
    </row>
    <row r="1363" spans="18:23" x14ac:dyDescent="0.25">
      <c r="R1363"/>
      <c r="W1363" s="2"/>
    </row>
    <row r="1364" spans="18:23" x14ac:dyDescent="0.25">
      <c r="R1364"/>
      <c r="W1364" s="2"/>
    </row>
    <row r="1365" spans="18:23" x14ac:dyDescent="0.25">
      <c r="R1365"/>
      <c r="W1365" s="2"/>
    </row>
    <row r="1366" spans="18:23" x14ac:dyDescent="0.25">
      <c r="R1366"/>
      <c r="W1366" s="2"/>
    </row>
    <row r="1367" spans="18:23" x14ac:dyDescent="0.25">
      <c r="R1367"/>
      <c r="W1367" s="2"/>
    </row>
    <row r="1368" spans="18:23" x14ac:dyDescent="0.25">
      <c r="R1368"/>
      <c r="W1368" s="2"/>
    </row>
    <row r="1369" spans="18:23" x14ac:dyDescent="0.25">
      <c r="R1369"/>
      <c r="W1369" s="2"/>
    </row>
    <row r="1370" spans="18:23" x14ac:dyDescent="0.25">
      <c r="R1370"/>
      <c r="W1370" s="2"/>
    </row>
    <row r="1371" spans="18:23" x14ac:dyDescent="0.25">
      <c r="R1371"/>
      <c r="W1371" s="2"/>
    </row>
    <row r="1372" spans="18:23" x14ac:dyDescent="0.25">
      <c r="R1372"/>
      <c r="W1372" s="2"/>
    </row>
    <row r="1373" spans="18:23" x14ac:dyDescent="0.25">
      <c r="R1373"/>
      <c r="W1373" s="2"/>
    </row>
    <row r="1374" spans="18:23" x14ac:dyDescent="0.25">
      <c r="R1374"/>
      <c r="W1374" s="2"/>
    </row>
    <row r="1375" spans="18:23" x14ac:dyDescent="0.25">
      <c r="R1375"/>
      <c r="W1375" s="2"/>
    </row>
    <row r="1376" spans="18:23" x14ac:dyDescent="0.25">
      <c r="R1376"/>
      <c r="W1376" s="2"/>
    </row>
    <row r="1377" spans="18:23" x14ac:dyDescent="0.25">
      <c r="R1377"/>
      <c r="W1377" s="2"/>
    </row>
    <row r="1378" spans="18:23" x14ac:dyDescent="0.25">
      <c r="R1378"/>
      <c r="W1378" s="2"/>
    </row>
    <row r="1379" spans="18:23" x14ac:dyDescent="0.25">
      <c r="R1379"/>
      <c r="W1379" s="2"/>
    </row>
    <row r="1380" spans="18:23" x14ac:dyDescent="0.25">
      <c r="R1380"/>
      <c r="W1380" s="2"/>
    </row>
    <row r="1381" spans="18:23" x14ac:dyDescent="0.25">
      <c r="R1381"/>
      <c r="W1381" s="2"/>
    </row>
    <row r="1382" spans="18:23" x14ac:dyDescent="0.25">
      <c r="R1382"/>
      <c r="W1382" s="2"/>
    </row>
    <row r="1383" spans="18:23" x14ac:dyDescent="0.25">
      <c r="R1383"/>
      <c r="W1383" s="2"/>
    </row>
    <row r="1384" spans="18:23" x14ac:dyDescent="0.25">
      <c r="R1384"/>
      <c r="W1384" s="2"/>
    </row>
    <row r="1385" spans="18:23" x14ac:dyDescent="0.25">
      <c r="R1385"/>
      <c r="W1385" s="2"/>
    </row>
    <row r="1386" spans="18:23" x14ac:dyDescent="0.25">
      <c r="R1386"/>
      <c r="W1386" s="2"/>
    </row>
    <row r="1387" spans="18:23" x14ac:dyDescent="0.25">
      <c r="R1387"/>
      <c r="W1387" s="2"/>
    </row>
    <row r="1388" spans="18:23" x14ac:dyDescent="0.25">
      <c r="R1388"/>
      <c r="W1388" s="2"/>
    </row>
    <row r="1389" spans="18:23" x14ac:dyDescent="0.25">
      <c r="R1389"/>
      <c r="W1389" s="2"/>
    </row>
    <row r="1390" spans="18:23" x14ac:dyDescent="0.25">
      <c r="R1390"/>
      <c r="W1390" s="2"/>
    </row>
    <row r="1391" spans="18:23" x14ac:dyDescent="0.25">
      <c r="R1391"/>
      <c r="W1391" s="2"/>
    </row>
    <row r="1392" spans="18:23" x14ac:dyDescent="0.25">
      <c r="R1392"/>
      <c r="W1392" s="2"/>
    </row>
    <row r="1393" spans="18:23" x14ac:dyDescent="0.25">
      <c r="R1393"/>
      <c r="W1393" s="2"/>
    </row>
    <row r="1394" spans="18:23" x14ac:dyDescent="0.25">
      <c r="R1394"/>
      <c r="W1394" s="2"/>
    </row>
    <row r="1395" spans="18:23" x14ac:dyDescent="0.25">
      <c r="R1395"/>
      <c r="W1395" s="2"/>
    </row>
    <row r="1396" spans="18:23" x14ac:dyDescent="0.25">
      <c r="R1396"/>
      <c r="W1396" s="2"/>
    </row>
    <row r="1397" spans="18:23" x14ac:dyDescent="0.25">
      <c r="R1397"/>
      <c r="W1397" s="2"/>
    </row>
    <row r="1398" spans="18:23" x14ac:dyDescent="0.25">
      <c r="R1398"/>
      <c r="W1398" s="2"/>
    </row>
    <row r="1399" spans="18:23" x14ac:dyDescent="0.25">
      <c r="R1399"/>
      <c r="W1399" s="2"/>
    </row>
    <row r="1400" spans="18:23" x14ac:dyDescent="0.25">
      <c r="R1400"/>
      <c r="W1400" s="2"/>
    </row>
    <row r="1401" spans="18:23" x14ac:dyDescent="0.25">
      <c r="R1401"/>
      <c r="W1401" s="2"/>
    </row>
    <row r="1402" spans="18:23" x14ac:dyDescent="0.25">
      <c r="R1402"/>
      <c r="W1402" s="2"/>
    </row>
    <row r="1403" spans="18:23" x14ac:dyDescent="0.25">
      <c r="R1403"/>
      <c r="W1403" s="2"/>
    </row>
    <row r="1404" spans="18:23" x14ac:dyDescent="0.25">
      <c r="R1404"/>
      <c r="W1404" s="2"/>
    </row>
    <row r="1405" spans="18:23" x14ac:dyDescent="0.25">
      <c r="R1405"/>
      <c r="W1405" s="2"/>
    </row>
    <row r="1406" spans="18:23" x14ac:dyDescent="0.25">
      <c r="R1406"/>
      <c r="W1406" s="2"/>
    </row>
    <row r="1407" spans="18:23" x14ac:dyDescent="0.25">
      <c r="R1407"/>
      <c r="W1407" s="2"/>
    </row>
    <row r="1408" spans="18:23" x14ac:dyDescent="0.25">
      <c r="R1408"/>
      <c r="W1408" s="2"/>
    </row>
    <row r="1409" spans="18:23" x14ac:dyDescent="0.25">
      <c r="R1409"/>
      <c r="W1409" s="2"/>
    </row>
    <row r="1410" spans="18:23" x14ac:dyDescent="0.25">
      <c r="R1410"/>
      <c r="W1410" s="2"/>
    </row>
    <row r="1411" spans="18:23" x14ac:dyDescent="0.25">
      <c r="R1411"/>
      <c r="W1411" s="2"/>
    </row>
    <row r="1412" spans="18:23" x14ac:dyDescent="0.25">
      <c r="R1412"/>
      <c r="W1412" s="2"/>
    </row>
    <row r="1413" spans="18:23" x14ac:dyDescent="0.25">
      <c r="R1413"/>
      <c r="W1413" s="2"/>
    </row>
    <row r="1414" spans="18:23" x14ac:dyDescent="0.25">
      <c r="R1414"/>
      <c r="W1414" s="2"/>
    </row>
    <row r="1415" spans="18:23" x14ac:dyDescent="0.25">
      <c r="R1415"/>
      <c r="W1415" s="2"/>
    </row>
    <row r="1416" spans="18:23" x14ac:dyDescent="0.25">
      <c r="R1416"/>
      <c r="W1416" s="2"/>
    </row>
    <row r="1417" spans="18:23" x14ac:dyDescent="0.25">
      <c r="R1417"/>
      <c r="W1417" s="2"/>
    </row>
    <row r="1418" spans="18:23" x14ac:dyDescent="0.25">
      <c r="R1418"/>
      <c r="W1418" s="2"/>
    </row>
    <row r="1419" spans="18:23" x14ac:dyDescent="0.25">
      <c r="R1419"/>
      <c r="W1419" s="2"/>
    </row>
    <row r="1420" spans="18:23" x14ac:dyDescent="0.25">
      <c r="R1420"/>
      <c r="W1420" s="2"/>
    </row>
    <row r="1421" spans="18:23" x14ac:dyDescent="0.25">
      <c r="R1421"/>
      <c r="W1421" s="2"/>
    </row>
    <row r="1422" spans="18:23" x14ac:dyDescent="0.25">
      <c r="R1422"/>
      <c r="W1422" s="2"/>
    </row>
    <row r="1423" spans="18:23" x14ac:dyDescent="0.25">
      <c r="R1423"/>
      <c r="W1423" s="2"/>
    </row>
    <row r="1424" spans="18:23" x14ac:dyDescent="0.25">
      <c r="R1424"/>
      <c r="W1424" s="2"/>
    </row>
    <row r="1425" spans="18:23" x14ac:dyDescent="0.25">
      <c r="R1425"/>
      <c r="W1425" s="2"/>
    </row>
    <row r="1426" spans="18:23" x14ac:dyDescent="0.25">
      <c r="R1426"/>
      <c r="W1426" s="2"/>
    </row>
    <row r="1427" spans="18:23" x14ac:dyDescent="0.25">
      <c r="R1427"/>
      <c r="W1427" s="2"/>
    </row>
    <row r="1428" spans="18:23" x14ac:dyDescent="0.25">
      <c r="R1428"/>
      <c r="W1428" s="2"/>
    </row>
    <row r="1429" spans="18:23" x14ac:dyDescent="0.25">
      <c r="R1429"/>
      <c r="W1429" s="2"/>
    </row>
    <row r="1430" spans="18:23" x14ac:dyDescent="0.25">
      <c r="R1430"/>
      <c r="W1430" s="2"/>
    </row>
    <row r="1431" spans="18:23" x14ac:dyDescent="0.25">
      <c r="R1431"/>
      <c r="W1431" s="2"/>
    </row>
    <row r="1432" spans="18:23" x14ac:dyDescent="0.25">
      <c r="R1432"/>
      <c r="W1432" s="2"/>
    </row>
    <row r="1433" spans="18:23" x14ac:dyDescent="0.25">
      <c r="R1433"/>
      <c r="W1433" s="2"/>
    </row>
    <row r="1434" spans="18:23" x14ac:dyDescent="0.25">
      <c r="R1434"/>
      <c r="W1434" s="2"/>
    </row>
    <row r="1435" spans="18:23" x14ac:dyDescent="0.25">
      <c r="R1435"/>
      <c r="W1435" s="2"/>
    </row>
    <row r="1436" spans="18:23" x14ac:dyDescent="0.25">
      <c r="R1436"/>
      <c r="W1436" s="2"/>
    </row>
    <row r="1437" spans="18:23" x14ac:dyDescent="0.25">
      <c r="R1437"/>
      <c r="W1437" s="2"/>
    </row>
    <row r="1438" spans="18:23" x14ac:dyDescent="0.25">
      <c r="R1438"/>
      <c r="W1438" s="2"/>
    </row>
    <row r="1439" spans="18:23" x14ac:dyDescent="0.25">
      <c r="R1439"/>
      <c r="W1439" s="2"/>
    </row>
    <row r="1440" spans="18:23" x14ac:dyDescent="0.25">
      <c r="R1440"/>
      <c r="W1440" s="2"/>
    </row>
    <row r="1441" spans="18:23" x14ac:dyDescent="0.25">
      <c r="R1441"/>
      <c r="W1441" s="2"/>
    </row>
    <row r="1442" spans="18:23" x14ac:dyDescent="0.25">
      <c r="R1442"/>
      <c r="W1442" s="2"/>
    </row>
    <row r="1443" spans="18:23" x14ac:dyDescent="0.25">
      <c r="R1443"/>
      <c r="W1443" s="2"/>
    </row>
    <row r="1444" spans="18:23" x14ac:dyDescent="0.25">
      <c r="R1444"/>
      <c r="W1444" s="2"/>
    </row>
    <row r="1445" spans="18:23" x14ac:dyDescent="0.25">
      <c r="R1445"/>
      <c r="W1445" s="2"/>
    </row>
    <row r="1446" spans="18:23" x14ac:dyDescent="0.25">
      <c r="R1446"/>
      <c r="W1446" s="2"/>
    </row>
    <row r="1447" spans="18:23" x14ac:dyDescent="0.25">
      <c r="R1447"/>
      <c r="W1447" s="2"/>
    </row>
    <row r="1448" spans="18:23" x14ac:dyDescent="0.25">
      <c r="R1448"/>
      <c r="W1448" s="2"/>
    </row>
    <row r="1449" spans="18:23" x14ac:dyDescent="0.25">
      <c r="R1449"/>
      <c r="W1449" s="2"/>
    </row>
    <row r="1450" spans="18:23" x14ac:dyDescent="0.25">
      <c r="R1450"/>
      <c r="W1450" s="2"/>
    </row>
    <row r="1451" spans="18:23" x14ac:dyDescent="0.25">
      <c r="R1451"/>
      <c r="W1451" s="2"/>
    </row>
    <row r="1452" spans="18:23" x14ac:dyDescent="0.25">
      <c r="R1452"/>
      <c r="W1452" s="2"/>
    </row>
    <row r="1453" spans="18:23" x14ac:dyDescent="0.25">
      <c r="R1453"/>
      <c r="W1453" s="2"/>
    </row>
    <row r="1454" spans="18:23" x14ac:dyDescent="0.25">
      <c r="R1454"/>
      <c r="W1454" s="2"/>
    </row>
    <row r="1455" spans="18:23" x14ac:dyDescent="0.25">
      <c r="R1455"/>
      <c r="W1455" s="2"/>
    </row>
    <row r="1456" spans="18:23" x14ac:dyDescent="0.25">
      <c r="R1456"/>
      <c r="W1456" s="2"/>
    </row>
    <row r="1457" spans="18:23" x14ac:dyDescent="0.25">
      <c r="R1457"/>
      <c r="W1457" s="2"/>
    </row>
    <row r="1458" spans="18:23" x14ac:dyDescent="0.25">
      <c r="R1458"/>
      <c r="W1458" s="2"/>
    </row>
    <row r="1459" spans="18:23" x14ac:dyDescent="0.25">
      <c r="R1459"/>
      <c r="W1459" s="2"/>
    </row>
    <row r="1460" spans="18:23" x14ac:dyDescent="0.25">
      <c r="R1460"/>
      <c r="W1460" s="2"/>
    </row>
    <row r="1461" spans="18:23" x14ac:dyDescent="0.25">
      <c r="R1461"/>
      <c r="W1461" s="2"/>
    </row>
    <row r="1462" spans="18:23" x14ac:dyDescent="0.25">
      <c r="R1462"/>
      <c r="W1462" s="2"/>
    </row>
    <row r="1463" spans="18:23" x14ac:dyDescent="0.25">
      <c r="R1463"/>
      <c r="W1463" s="2"/>
    </row>
    <row r="1464" spans="18:23" x14ac:dyDescent="0.25">
      <c r="R1464"/>
      <c r="W1464" s="2"/>
    </row>
    <row r="1465" spans="18:23" x14ac:dyDescent="0.25">
      <c r="R1465"/>
      <c r="W1465" s="2"/>
    </row>
    <row r="1466" spans="18:23" x14ac:dyDescent="0.25">
      <c r="R1466"/>
      <c r="W1466" s="2"/>
    </row>
    <row r="1467" spans="18:23" x14ac:dyDescent="0.25">
      <c r="R1467"/>
      <c r="W1467" s="2"/>
    </row>
    <row r="1468" spans="18:23" x14ac:dyDescent="0.25">
      <c r="R1468"/>
      <c r="W1468" s="2"/>
    </row>
    <row r="1469" spans="18:23" x14ac:dyDescent="0.25">
      <c r="R1469"/>
      <c r="W1469" s="2"/>
    </row>
    <row r="1470" spans="18:23" x14ac:dyDescent="0.25">
      <c r="R1470"/>
      <c r="W1470" s="2"/>
    </row>
    <row r="1471" spans="18:23" x14ac:dyDescent="0.25">
      <c r="R1471"/>
      <c r="W1471" s="2"/>
    </row>
    <row r="1472" spans="18:23" x14ac:dyDescent="0.25">
      <c r="R1472"/>
      <c r="W1472" s="2"/>
    </row>
    <row r="1473" spans="18:23" x14ac:dyDescent="0.25">
      <c r="R1473"/>
      <c r="W1473" s="2"/>
    </row>
    <row r="1474" spans="18:23" x14ac:dyDescent="0.25">
      <c r="R1474"/>
      <c r="W1474" s="2"/>
    </row>
    <row r="1475" spans="18:23" x14ac:dyDescent="0.25">
      <c r="R1475"/>
      <c r="W1475" s="2"/>
    </row>
    <row r="1476" spans="18:23" x14ac:dyDescent="0.25">
      <c r="R1476"/>
      <c r="W1476" s="2"/>
    </row>
    <row r="1477" spans="18:23" x14ac:dyDescent="0.25">
      <c r="R1477"/>
      <c r="W1477" s="2"/>
    </row>
    <row r="1478" spans="18:23" x14ac:dyDescent="0.25">
      <c r="R1478"/>
      <c r="W1478" s="2"/>
    </row>
    <row r="1479" spans="18:23" x14ac:dyDescent="0.25">
      <c r="R1479"/>
      <c r="W1479" s="2"/>
    </row>
    <row r="1480" spans="18:23" x14ac:dyDescent="0.25">
      <c r="R1480"/>
      <c r="W1480" s="2"/>
    </row>
    <row r="1481" spans="18:23" x14ac:dyDescent="0.25">
      <c r="R1481"/>
      <c r="W1481" s="2"/>
    </row>
    <row r="1482" spans="18:23" x14ac:dyDescent="0.25">
      <c r="R1482"/>
      <c r="W1482" s="2"/>
    </row>
    <row r="1483" spans="18:23" x14ac:dyDescent="0.25">
      <c r="R1483"/>
      <c r="W1483" s="2"/>
    </row>
    <row r="1484" spans="18:23" x14ac:dyDescent="0.25">
      <c r="R1484"/>
      <c r="W1484" s="2"/>
    </row>
    <row r="1485" spans="18:23" x14ac:dyDescent="0.25">
      <c r="R1485"/>
      <c r="W1485" s="2"/>
    </row>
    <row r="1486" spans="18:23" x14ac:dyDescent="0.25">
      <c r="R1486"/>
      <c r="W1486" s="2"/>
    </row>
    <row r="1487" spans="18:23" x14ac:dyDescent="0.25">
      <c r="R1487"/>
      <c r="W1487" s="2"/>
    </row>
    <row r="1488" spans="18:23" x14ac:dyDescent="0.25">
      <c r="R1488"/>
      <c r="W1488" s="2"/>
    </row>
    <row r="1489" spans="18:23" x14ac:dyDescent="0.25">
      <c r="R1489"/>
      <c r="W1489" s="2"/>
    </row>
    <row r="1490" spans="18:23" x14ac:dyDescent="0.25">
      <c r="R1490"/>
      <c r="W1490" s="2"/>
    </row>
    <row r="1491" spans="18:23" x14ac:dyDescent="0.25">
      <c r="R1491"/>
      <c r="W1491" s="2"/>
    </row>
    <row r="1492" spans="18:23" x14ac:dyDescent="0.25">
      <c r="R1492"/>
      <c r="W1492" s="2"/>
    </row>
    <row r="1493" spans="18:23" x14ac:dyDescent="0.25">
      <c r="R1493"/>
      <c r="W1493" s="2"/>
    </row>
    <row r="1494" spans="18:23" x14ac:dyDescent="0.25">
      <c r="R1494"/>
      <c r="W1494" s="2"/>
    </row>
    <row r="1495" spans="18:23" x14ac:dyDescent="0.25">
      <c r="R1495"/>
      <c r="W1495" s="2"/>
    </row>
    <row r="1496" spans="18:23" x14ac:dyDescent="0.25">
      <c r="R1496"/>
      <c r="W1496" s="2"/>
    </row>
    <row r="1497" spans="18:23" x14ac:dyDescent="0.25">
      <c r="R1497"/>
      <c r="W1497" s="2"/>
    </row>
    <row r="1498" spans="18:23" x14ac:dyDescent="0.25">
      <c r="R1498"/>
      <c r="W1498" s="2"/>
    </row>
    <row r="1499" spans="18:23" x14ac:dyDescent="0.25">
      <c r="R1499"/>
      <c r="W1499" s="2"/>
    </row>
    <row r="1500" spans="18:23" x14ac:dyDescent="0.25">
      <c r="R1500"/>
      <c r="W1500" s="2"/>
    </row>
    <row r="1501" spans="18:23" x14ac:dyDescent="0.25">
      <c r="R1501"/>
      <c r="W1501" s="2"/>
    </row>
    <row r="1502" spans="18:23" x14ac:dyDescent="0.25">
      <c r="R1502"/>
      <c r="W1502" s="2"/>
    </row>
    <row r="1503" spans="18:23" x14ac:dyDescent="0.25">
      <c r="R1503"/>
      <c r="W1503" s="2"/>
    </row>
    <row r="1504" spans="18:23" x14ac:dyDescent="0.25">
      <c r="R1504"/>
      <c r="W1504" s="2"/>
    </row>
    <row r="1505" spans="18:23" x14ac:dyDescent="0.25">
      <c r="R1505"/>
      <c r="W1505" s="2"/>
    </row>
    <row r="1506" spans="18:23" x14ac:dyDescent="0.25">
      <c r="R1506"/>
      <c r="W1506" s="2"/>
    </row>
    <row r="1507" spans="18:23" x14ac:dyDescent="0.25">
      <c r="R1507"/>
      <c r="W1507" s="2"/>
    </row>
    <row r="1508" spans="18:23" x14ac:dyDescent="0.25">
      <c r="R1508"/>
      <c r="W1508" s="2"/>
    </row>
    <row r="1509" spans="18:23" x14ac:dyDescent="0.25">
      <c r="R1509"/>
      <c r="W1509" s="2"/>
    </row>
    <row r="1510" spans="18:23" x14ac:dyDescent="0.25">
      <c r="R1510"/>
      <c r="W1510" s="2"/>
    </row>
    <row r="1511" spans="18:23" x14ac:dyDescent="0.25">
      <c r="R1511"/>
      <c r="W1511" s="2"/>
    </row>
    <row r="1512" spans="18:23" x14ac:dyDescent="0.25">
      <c r="R1512"/>
      <c r="W1512" s="2"/>
    </row>
    <row r="1513" spans="18:23" x14ac:dyDescent="0.25">
      <c r="R1513"/>
      <c r="W1513" s="2"/>
    </row>
    <row r="1514" spans="18:23" x14ac:dyDescent="0.25">
      <c r="R1514"/>
      <c r="W1514" s="2"/>
    </row>
    <row r="1515" spans="18:23" x14ac:dyDescent="0.25">
      <c r="R1515"/>
      <c r="W1515" s="2"/>
    </row>
    <row r="1516" spans="18:23" x14ac:dyDescent="0.25">
      <c r="R1516"/>
      <c r="W1516" s="2"/>
    </row>
    <row r="1517" spans="18:23" x14ac:dyDescent="0.25">
      <c r="R1517"/>
      <c r="W1517" s="2"/>
    </row>
    <row r="1518" spans="18:23" x14ac:dyDescent="0.25">
      <c r="R1518"/>
      <c r="W1518" s="2"/>
    </row>
    <row r="1519" spans="18:23" x14ac:dyDescent="0.25">
      <c r="R1519"/>
      <c r="W1519" s="2"/>
    </row>
    <row r="1520" spans="18:23" x14ac:dyDescent="0.25">
      <c r="R1520"/>
      <c r="W1520" s="2"/>
    </row>
    <row r="1521" spans="18:23" x14ac:dyDescent="0.25">
      <c r="R1521"/>
      <c r="W1521" s="2"/>
    </row>
    <row r="1522" spans="18:23" x14ac:dyDescent="0.25">
      <c r="R1522"/>
      <c r="W1522" s="2"/>
    </row>
    <row r="1523" spans="18:23" x14ac:dyDescent="0.25">
      <c r="R1523"/>
      <c r="W1523" s="2"/>
    </row>
    <row r="1524" spans="18:23" x14ac:dyDescent="0.25">
      <c r="R1524"/>
      <c r="W1524" s="2"/>
    </row>
    <row r="1525" spans="18:23" x14ac:dyDescent="0.25">
      <c r="R1525"/>
      <c r="W1525" s="2"/>
    </row>
    <row r="1526" spans="18:23" x14ac:dyDescent="0.25">
      <c r="R1526"/>
      <c r="W1526" s="2"/>
    </row>
    <row r="1527" spans="18:23" x14ac:dyDescent="0.25">
      <c r="R1527"/>
      <c r="W1527" s="2"/>
    </row>
    <row r="1528" spans="18:23" x14ac:dyDescent="0.25">
      <c r="R1528"/>
      <c r="W1528" s="2"/>
    </row>
    <row r="1529" spans="18:23" x14ac:dyDescent="0.25">
      <c r="R1529"/>
      <c r="W1529" s="2"/>
    </row>
    <row r="1530" spans="18:23" x14ac:dyDescent="0.25">
      <c r="R1530"/>
      <c r="W1530" s="2"/>
    </row>
    <row r="1531" spans="18:23" x14ac:dyDescent="0.25">
      <c r="R1531"/>
      <c r="W1531" s="2"/>
    </row>
    <row r="1532" spans="18:23" x14ac:dyDescent="0.25">
      <c r="R1532"/>
      <c r="W1532" s="2"/>
    </row>
    <row r="1533" spans="18:23" x14ac:dyDescent="0.25">
      <c r="R1533"/>
      <c r="W1533" s="2"/>
    </row>
    <row r="1534" spans="18:23" x14ac:dyDescent="0.25">
      <c r="R1534"/>
      <c r="W1534" s="2"/>
    </row>
    <row r="1535" spans="18:23" x14ac:dyDescent="0.25">
      <c r="R1535"/>
      <c r="W1535" s="2"/>
    </row>
    <row r="1536" spans="18:23" x14ac:dyDescent="0.25">
      <c r="R1536"/>
      <c r="W1536" s="2"/>
    </row>
    <row r="1537" spans="18:23" x14ac:dyDescent="0.25">
      <c r="R1537"/>
      <c r="W1537" s="2"/>
    </row>
    <row r="1538" spans="18:23" x14ac:dyDescent="0.25">
      <c r="R1538"/>
      <c r="W1538" s="2"/>
    </row>
    <row r="1539" spans="18:23" x14ac:dyDescent="0.25">
      <c r="R1539"/>
      <c r="W1539" s="2"/>
    </row>
    <row r="1540" spans="18:23" x14ac:dyDescent="0.25">
      <c r="R1540"/>
      <c r="W1540" s="2"/>
    </row>
    <row r="1541" spans="18:23" x14ac:dyDescent="0.25">
      <c r="R1541"/>
      <c r="W1541" s="2"/>
    </row>
    <row r="1542" spans="18:23" x14ac:dyDescent="0.25">
      <c r="R1542"/>
      <c r="W1542" s="2"/>
    </row>
    <row r="1543" spans="18:23" x14ac:dyDescent="0.25">
      <c r="R1543"/>
      <c r="W1543" s="2"/>
    </row>
    <row r="1544" spans="18:23" x14ac:dyDescent="0.25">
      <c r="R1544"/>
      <c r="W1544" s="2"/>
    </row>
    <row r="1545" spans="18:23" x14ac:dyDescent="0.25">
      <c r="R1545"/>
      <c r="W1545" s="2"/>
    </row>
    <row r="1546" spans="18:23" x14ac:dyDescent="0.25">
      <c r="R1546"/>
      <c r="W1546" s="2"/>
    </row>
    <row r="1547" spans="18:23" x14ac:dyDescent="0.25">
      <c r="R1547"/>
      <c r="W1547" s="2"/>
    </row>
    <row r="1548" spans="18:23" x14ac:dyDescent="0.25">
      <c r="R1548"/>
      <c r="W1548" s="2"/>
    </row>
    <row r="1549" spans="18:23" x14ac:dyDescent="0.25">
      <c r="R1549"/>
      <c r="W1549" s="2"/>
    </row>
    <row r="1550" spans="18:23" x14ac:dyDescent="0.25">
      <c r="R1550"/>
      <c r="W1550" s="2"/>
    </row>
    <row r="1551" spans="18:23" x14ac:dyDescent="0.25">
      <c r="R1551"/>
      <c r="W1551" s="2"/>
    </row>
    <row r="1552" spans="18:23" x14ac:dyDescent="0.25">
      <c r="R1552"/>
      <c r="W1552" s="2"/>
    </row>
    <row r="1553" spans="18:23" x14ac:dyDescent="0.25">
      <c r="R1553"/>
      <c r="W1553" s="2"/>
    </row>
    <row r="1554" spans="18:23" x14ac:dyDescent="0.25">
      <c r="R1554"/>
      <c r="W1554" s="2"/>
    </row>
    <row r="1555" spans="18:23" x14ac:dyDescent="0.25">
      <c r="R1555"/>
      <c r="W1555" s="2"/>
    </row>
    <row r="1556" spans="18:23" x14ac:dyDescent="0.25">
      <c r="R1556"/>
      <c r="W1556" s="2"/>
    </row>
    <row r="1557" spans="18:23" x14ac:dyDescent="0.25">
      <c r="R1557"/>
      <c r="W1557" s="2"/>
    </row>
    <row r="1558" spans="18:23" x14ac:dyDescent="0.25">
      <c r="R1558"/>
      <c r="W1558" s="2"/>
    </row>
    <row r="1559" spans="18:23" x14ac:dyDescent="0.25">
      <c r="R1559"/>
      <c r="W1559" s="2"/>
    </row>
    <row r="1560" spans="18:23" x14ac:dyDescent="0.25">
      <c r="R1560"/>
      <c r="W1560" s="2"/>
    </row>
    <row r="1561" spans="18:23" x14ac:dyDescent="0.25">
      <c r="R1561"/>
      <c r="W1561" s="2"/>
    </row>
    <row r="1562" spans="18:23" x14ac:dyDescent="0.25">
      <c r="R1562"/>
      <c r="W1562" s="2"/>
    </row>
    <row r="1563" spans="18:23" x14ac:dyDescent="0.25">
      <c r="R1563"/>
      <c r="W1563" s="2"/>
    </row>
    <row r="1564" spans="18:23" x14ac:dyDescent="0.25">
      <c r="R1564"/>
      <c r="W1564" s="2"/>
    </row>
    <row r="1565" spans="18:23" x14ac:dyDescent="0.25">
      <c r="R1565"/>
      <c r="W1565" s="2"/>
    </row>
    <row r="1566" spans="18:23" x14ac:dyDescent="0.25">
      <c r="R1566"/>
      <c r="W1566" s="2"/>
    </row>
    <row r="1567" spans="18:23" x14ac:dyDescent="0.25">
      <c r="R1567"/>
      <c r="W1567" s="2"/>
    </row>
    <row r="1568" spans="18:23" x14ac:dyDescent="0.25">
      <c r="R1568"/>
      <c r="W1568" s="2"/>
    </row>
    <row r="1569" spans="18:23" x14ac:dyDescent="0.25">
      <c r="R1569"/>
      <c r="W1569" s="2"/>
    </row>
    <row r="1570" spans="18:23" x14ac:dyDescent="0.25">
      <c r="R1570"/>
      <c r="W1570" s="2"/>
    </row>
    <row r="1571" spans="18:23" x14ac:dyDescent="0.25">
      <c r="R1571"/>
      <c r="W1571" s="2"/>
    </row>
    <row r="1572" spans="18:23" x14ac:dyDescent="0.25">
      <c r="R1572"/>
      <c r="W1572" s="2"/>
    </row>
    <row r="1573" spans="18:23" x14ac:dyDescent="0.25">
      <c r="R1573"/>
      <c r="W1573" s="2"/>
    </row>
    <row r="1574" spans="18:23" x14ac:dyDescent="0.25">
      <c r="R1574"/>
      <c r="W1574" s="2"/>
    </row>
    <row r="1575" spans="18:23" x14ac:dyDescent="0.25">
      <c r="R1575"/>
      <c r="W1575" s="2"/>
    </row>
    <row r="1576" spans="18:23" x14ac:dyDescent="0.25">
      <c r="R1576"/>
      <c r="W1576" s="2"/>
    </row>
    <row r="1577" spans="18:23" x14ac:dyDescent="0.25">
      <c r="R1577"/>
      <c r="W1577" s="2"/>
    </row>
    <row r="1578" spans="18:23" x14ac:dyDescent="0.25">
      <c r="R1578"/>
      <c r="W1578" s="2"/>
    </row>
    <row r="1579" spans="18:23" x14ac:dyDescent="0.25">
      <c r="R1579"/>
      <c r="W1579" s="2"/>
    </row>
    <row r="1580" spans="18:23" x14ac:dyDescent="0.25">
      <c r="R1580"/>
      <c r="W1580" s="2"/>
    </row>
    <row r="1581" spans="18:23" x14ac:dyDescent="0.25">
      <c r="R1581"/>
      <c r="W1581" s="2"/>
    </row>
    <row r="1582" spans="18:23" x14ac:dyDescent="0.25">
      <c r="R1582"/>
      <c r="W1582" s="2"/>
    </row>
    <row r="1583" spans="18:23" x14ac:dyDescent="0.25">
      <c r="R1583"/>
      <c r="W1583" s="2"/>
    </row>
    <row r="1584" spans="18:23" x14ac:dyDescent="0.25">
      <c r="R1584"/>
      <c r="W1584" s="2"/>
    </row>
    <row r="1585" spans="18:23" x14ac:dyDescent="0.25">
      <c r="R1585"/>
      <c r="W1585" s="2"/>
    </row>
    <row r="1586" spans="18:23" x14ac:dyDescent="0.25">
      <c r="R1586"/>
      <c r="W1586" s="2"/>
    </row>
    <row r="1587" spans="18:23" x14ac:dyDescent="0.25">
      <c r="R1587"/>
      <c r="W1587" s="2"/>
    </row>
    <row r="1588" spans="18:23" x14ac:dyDescent="0.25">
      <c r="R1588"/>
      <c r="W1588" s="2"/>
    </row>
    <row r="1589" spans="18:23" x14ac:dyDescent="0.25">
      <c r="R1589"/>
      <c r="W1589" s="2"/>
    </row>
    <row r="1590" spans="18:23" x14ac:dyDescent="0.25">
      <c r="R1590"/>
      <c r="W1590" s="2"/>
    </row>
    <row r="1591" spans="18:23" x14ac:dyDescent="0.25">
      <c r="R1591"/>
      <c r="W1591" s="2"/>
    </row>
    <row r="1592" spans="18:23" x14ac:dyDescent="0.25">
      <c r="R1592"/>
      <c r="W1592" s="2"/>
    </row>
    <row r="1593" spans="18:23" x14ac:dyDescent="0.25">
      <c r="R1593"/>
      <c r="W1593" s="2"/>
    </row>
    <row r="1594" spans="18:23" x14ac:dyDescent="0.25">
      <c r="R1594"/>
      <c r="W1594" s="2"/>
    </row>
    <row r="1595" spans="18:23" x14ac:dyDescent="0.25">
      <c r="R1595"/>
      <c r="W1595" s="2"/>
    </row>
    <row r="1596" spans="18:23" x14ac:dyDescent="0.25">
      <c r="R1596"/>
      <c r="W1596" s="2"/>
    </row>
    <row r="1597" spans="18:23" x14ac:dyDescent="0.25">
      <c r="R1597"/>
      <c r="W1597" s="2"/>
    </row>
    <row r="1598" spans="18:23" x14ac:dyDescent="0.25">
      <c r="R1598"/>
      <c r="W1598" s="2"/>
    </row>
    <row r="1599" spans="18:23" x14ac:dyDescent="0.25">
      <c r="R1599"/>
      <c r="W1599" s="2"/>
    </row>
    <row r="1600" spans="18:23" x14ac:dyDescent="0.25">
      <c r="R1600"/>
      <c r="W1600" s="2"/>
    </row>
    <row r="1601" spans="18:23" x14ac:dyDescent="0.25">
      <c r="R1601"/>
      <c r="W1601" s="2"/>
    </row>
    <row r="1602" spans="18:23" x14ac:dyDescent="0.25">
      <c r="R1602"/>
      <c r="W1602" s="2"/>
    </row>
    <row r="1603" spans="18:23" x14ac:dyDescent="0.25">
      <c r="R1603"/>
      <c r="W1603" s="2"/>
    </row>
    <row r="1604" spans="18:23" x14ac:dyDescent="0.25">
      <c r="R1604"/>
      <c r="W1604" s="2"/>
    </row>
    <row r="1605" spans="18:23" x14ac:dyDescent="0.25">
      <c r="R1605"/>
      <c r="W1605" s="2"/>
    </row>
    <row r="1606" spans="18:23" x14ac:dyDescent="0.25">
      <c r="R1606"/>
      <c r="W1606" s="2"/>
    </row>
    <row r="1607" spans="18:23" x14ac:dyDescent="0.25">
      <c r="R1607"/>
      <c r="W1607" s="2"/>
    </row>
    <row r="1608" spans="18:23" x14ac:dyDescent="0.25">
      <c r="R1608"/>
      <c r="W1608" s="2"/>
    </row>
    <row r="1609" spans="18:23" x14ac:dyDescent="0.25">
      <c r="R1609"/>
      <c r="W1609" s="2"/>
    </row>
    <row r="1610" spans="18:23" x14ac:dyDescent="0.25">
      <c r="R1610"/>
      <c r="W1610" s="2"/>
    </row>
    <row r="1611" spans="18:23" x14ac:dyDescent="0.25">
      <c r="R1611"/>
      <c r="W1611" s="2"/>
    </row>
    <row r="1612" spans="18:23" x14ac:dyDescent="0.25">
      <c r="R1612"/>
      <c r="W1612" s="2"/>
    </row>
    <row r="1613" spans="18:23" x14ac:dyDescent="0.25">
      <c r="R1613"/>
      <c r="W1613" s="2"/>
    </row>
    <row r="1614" spans="18:23" x14ac:dyDescent="0.25">
      <c r="R1614"/>
      <c r="W1614" s="2"/>
    </row>
    <row r="1615" spans="18:23" x14ac:dyDescent="0.25">
      <c r="R1615"/>
      <c r="W1615" s="2"/>
    </row>
    <row r="1616" spans="18:23" x14ac:dyDescent="0.25">
      <c r="R1616"/>
      <c r="W1616" s="2"/>
    </row>
    <row r="1617" spans="18:23" x14ac:dyDescent="0.25">
      <c r="R1617"/>
      <c r="W1617" s="2"/>
    </row>
    <row r="1618" spans="18:23" x14ac:dyDescent="0.25">
      <c r="R1618"/>
      <c r="W1618" s="2"/>
    </row>
    <row r="1619" spans="18:23" x14ac:dyDescent="0.25">
      <c r="R1619"/>
      <c r="W1619" s="2"/>
    </row>
    <row r="1620" spans="18:23" x14ac:dyDescent="0.25">
      <c r="R1620"/>
      <c r="W1620" s="2"/>
    </row>
    <row r="1621" spans="18:23" x14ac:dyDescent="0.25">
      <c r="R1621"/>
      <c r="W1621" s="2"/>
    </row>
    <row r="1622" spans="18:23" x14ac:dyDescent="0.25">
      <c r="R1622"/>
      <c r="W1622" s="2"/>
    </row>
    <row r="1623" spans="18:23" x14ac:dyDescent="0.25">
      <c r="R1623"/>
      <c r="W1623" s="2"/>
    </row>
    <row r="1624" spans="18:23" x14ac:dyDescent="0.25">
      <c r="R1624"/>
      <c r="W1624" s="2"/>
    </row>
    <row r="1625" spans="18:23" x14ac:dyDescent="0.25">
      <c r="R1625"/>
      <c r="W1625" s="2"/>
    </row>
    <row r="1626" spans="18:23" x14ac:dyDescent="0.25">
      <c r="R1626"/>
      <c r="W1626" s="2"/>
    </row>
    <row r="1627" spans="18:23" x14ac:dyDescent="0.25">
      <c r="R1627"/>
      <c r="W1627" s="2"/>
    </row>
    <row r="1628" spans="18:23" x14ac:dyDescent="0.25">
      <c r="R1628"/>
      <c r="W1628" s="2"/>
    </row>
    <row r="1629" spans="18:23" x14ac:dyDescent="0.25">
      <c r="R1629"/>
      <c r="W1629" s="2"/>
    </row>
    <row r="1630" spans="18:23" x14ac:dyDescent="0.25">
      <c r="R1630"/>
      <c r="W1630" s="2"/>
    </row>
    <row r="1631" spans="18:23" x14ac:dyDescent="0.25">
      <c r="R1631"/>
      <c r="W1631" s="2"/>
    </row>
    <row r="1632" spans="18:23" x14ac:dyDescent="0.25">
      <c r="R1632"/>
      <c r="W1632" s="2"/>
    </row>
    <row r="1633" spans="18:23" x14ac:dyDescent="0.25">
      <c r="R1633"/>
      <c r="W1633" s="2"/>
    </row>
    <row r="1634" spans="18:23" x14ac:dyDescent="0.25">
      <c r="R1634"/>
      <c r="W1634" s="2"/>
    </row>
    <row r="1635" spans="18:23" x14ac:dyDescent="0.25">
      <c r="R1635"/>
      <c r="W1635" s="2"/>
    </row>
    <row r="1636" spans="18:23" x14ac:dyDescent="0.25">
      <c r="R1636"/>
      <c r="W1636" s="2"/>
    </row>
    <row r="1637" spans="18:23" x14ac:dyDescent="0.25">
      <c r="R1637"/>
      <c r="W1637" s="2"/>
    </row>
    <row r="1638" spans="18:23" x14ac:dyDescent="0.25">
      <c r="R1638"/>
      <c r="W1638" s="2"/>
    </row>
    <row r="1639" spans="18:23" x14ac:dyDescent="0.25">
      <c r="R1639"/>
      <c r="W1639" s="2"/>
    </row>
    <row r="1640" spans="18:23" x14ac:dyDescent="0.25">
      <c r="R1640"/>
      <c r="W1640" s="2"/>
    </row>
    <row r="1641" spans="18:23" x14ac:dyDescent="0.25">
      <c r="R1641"/>
      <c r="W1641" s="2"/>
    </row>
    <row r="1642" spans="18:23" x14ac:dyDescent="0.25">
      <c r="R1642"/>
      <c r="W1642" s="2"/>
    </row>
    <row r="1643" spans="18:23" x14ac:dyDescent="0.25">
      <c r="R1643"/>
      <c r="W1643" s="2"/>
    </row>
    <row r="1644" spans="18:23" x14ac:dyDescent="0.25">
      <c r="R1644"/>
      <c r="W1644" s="2"/>
    </row>
    <row r="1645" spans="18:23" x14ac:dyDescent="0.25">
      <c r="R1645"/>
      <c r="W1645" s="2"/>
    </row>
    <row r="1646" spans="18:23" x14ac:dyDescent="0.25">
      <c r="R1646"/>
      <c r="W1646" s="2"/>
    </row>
    <row r="1647" spans="18:23" x14ac:dyDescent="0.25">
      <c r="R1647"/>
      <c r="W1647" s="2"/>
    </row>
    <row r="1648" spans="18:23" x14ac:dyDescent="0.25">
      <c r="R1648"/>
      <c r="W1648" s="2"/>
    </row>
    <row r="1649" spans="18:23" x14ac:dyDescent="0.25">
      <c r="R1649"/>
      <c r="W1649" s="2"/>
    </row>
    <row r="1650" spans="18:23" x14ac:dyDescent="0.25">
      <c r="R1650"/>
      <c r="W1650" s="2"/>
    </row>
    <row r="1651" spans="18:23" x14ac:dyDescent="0.25">
      <c r="R1651"/>
      <c r="W1651" s="2"/>
    </row>
    <row r="1652" spans="18:23" x14ac:dyDescent="0.25">
      <c r="R1652"/>
      <c r="W1652" s="2"/>
    </row>
    <row r="1653" spans="18:23" x14ac:dyDescent="0.25">
      <c r="R1653"/>
      <c r="W1653" s="2"/>
    </row>
    <row r="1654" spans="18:23" x14ac:dyDescent="0.25">
      <c r="R1654"/>
      <c r="W1654" s="2"/>
    </row>
    <row r="1655" spans="18:23" x14ac:dyDescent="0.25">
      <c r="R1655"/>
      <c r="W1655" s="2"/>
    </row>
    <row r="1656" spans="18:23" x14ac:dyDescent="0.25">
      <c r="R1656"/>
      <c r="W1656" s="2"/>
    </row>
    <row r="1657" spans="18:23" x14ac:dyDescent="0.25">
      <c r="R1657"/>
      <c r="W1657" s="2"/>
    </row>
    <row r="1658" spans="18:23" x14ac:dyDescent="0.25">
      <c r="R1658"/>
      <c r="W1658" s="2"/>
    </row>
    <row r="1659" spans="18:23" x14ac:dyDescent="0.25">
      <c r="R1659"/>
      <c r="W1659" s="2"/>
    </row>
    <row r="1660" spans="18:23" x14ac:dyDescent="0.25">
      <c r="R1660"/>
      <c r="W1660" s="2"/>
    </row>
    <row r="1661" spans="18:23" x14ac:dyDescent="0.25">
      <c r="R1661"/>
      <c r="W1661" s="2"/>
    </row>
    <row r="1662" spans="18:23" x14ac:dyDescent="0.25">
      <c r="R1662"/>
      <c r="W1662" s="2"/>
    </row>
    <row r="1663" spans="18:23" x14ac:dyDescent="0.25">
      <c r="R1663"/>
      <c r="W1663" s="2"/>
    </row>
    <row r="1664" spans="18:23" x14ac:dyDescent="0.25">
      <c r="R1664"/>
      <c r="W1664" s="2"/>
    </row>
    <row r="1665" spans="18:23" x14ac:dyDescent="0.25">
      <c r="R1665"/>
      <c r="W1665" s="2"/>
    </row>
    <row r="1666" spans="18:23" x14ac:dyDescent="0.25">
      <c r="R1666"/>
      <c r="W1666" s="2"/>
    </row>
    <row r="1667" spans="18:23" x14ac:dyDescent="0.25">
      <c r="R1667"/>
      <c r="W1667" s="2"/>
    </row>
    <row r="1668" spans="18:23" x14ac:dyDescent="0.25">
      <c r="R1668"/>
      <c r="W1668" s="2"/>
    </row>
    <row r="1669" spans="18:23" x14ac:dyDescent="0.25">
      <c r="R1669"/>
      <c r="W1669" s="2"/>
    </row>
    <row r="1670" spans="18:23" x14ac:dyDescent="0.25">
      <c r="R1670"/>
      <c r="W1670" s="2"/>
    </row>
    <row r="1671" spans="18:23" x14ac:dyDescent="0.25">
      <c r="R1671"/>
      <c r="W1671" s="2"/>
    </row>
    <row r="1672" spans="18:23" x14ac:dyDescent="0.25">
      <c r="R1672"/>
      <c r="W1672" s="2"/>
    </row>
    <row r="1673" spans="18:23" x14ac:dyDescent="0.25">
      <c r="R1673"/>
      <c r="W1673" s="2"/>
    </row>
    <row r="1674" spans="18:23" x14ac:dyDescent="0.25">
      <c r="R1674"/>
      <c r="W1674" s="2"/>
    </row>
    <row r="1675" spans="18:23" x14ac:dyDescent="0.25">
      <c r="R1675"/>
      <c r="W1675" s="2"/>
    </row>
    <row r="1676" spans="18:23" x14ac:dyDescent="0.25">
      <c r="R1676"/>
      <c r="W1676" s="2"/>
    </row>
    <row r="1677" spans="18:23" x14ac:dyDescent="0.25">
      <c r="R1677"/>
      <c r="W1677" s="2"/>
    </row>
    <row r="1678" spans="18:23" x14ac:dyDescent="0.25">
      <c r="R1678"/>
      <c r="W1678" s="2"/>
    </row>
    <row r="1679" spans="18:23" x14ac:dyDescent="0.25">
      <c r="R1679"/>
      <c r="W1679" s="2"/>
    </row>
    <row r="1680" spans="18:23" x14ac:dyDescent="0.25">
      <c r="R1680"/>
      <c r="W1680" s="2"/>
    </row>
    <row r="1681" spans="18:23" x14ac:dyDescent="0.25">
      <c r="R1681"/>
      <c r="W1681" s="2"/>
    </row>
    <row r="1682" spans="18:23" x14ac:dyDescent="0.25">
      <c r="R1682"/>
      <c r="W1682" s="2"/>
    </row>
    <row r="1683" spans="18:23" x14ac:dyDescent="0.25">
      <c r="R1683"/>
      <c r="W1683" s="2"/>
    </row>
    <row r="1684" spans="18:23" x14ac:dyDescent="0.25">
      <c r="R1684"/>
      <c r="W1684" s="2"/>
    </row>
    <row r="1685" spans="18:23" x14ac:dyDescent="0.25">
      <c r="R1685"/>
      <c r="W1685" s="2"/>
    </row>
    <row r="1686" spans="18:23" x14ac:dyDescent="0.25">
      <c r="R1686"/>
      <c r="W1686" s="2"/>
    </row>
    <row r="1687" spans="18:23" x14ac:dyDescent="0.25">
      <c r="R1687"/>
      <c r="W1687" s="2"/>
    </row>
    <row r="1688" spans="18:23" x14ac:dyDescent="0.25">
      <c r="R1688"/>
      <c r="W1688" s="2"/>
    </row>
    <row r="1689" spans="18:23" x14ac:dyDescent="0.25">
      <c r="R1689"/>
      <c r="W1689" s="2"/>
    </row>
    <row r="1690" spans="18:23" x14ac:dyDescent="0.25">
      <c r="R1690"/>
      <c r="W1690" s="2"/>
    </row>
    <row r="1691" spans="18:23" x14ac:dyDescent="0.25">
      <c r="R1691"/>
      <c r="W1691" s="2"/>
    </row>
    <row r="1692" spans="18:23" x14ac:dyDescent="0.25">
      <c r="R1692"/>
      <c r="W1692" s="2"/>
    </row>
    <row r="1693" spans="18:23" x14ac:dyDescent="0.25">
      <c r="R1693"/>
      <c r="W1693" s="2"/>
    </row>
    <row r="1694" spans="18:23" x14ac:dyDescent="0.25">
      <c r="R1694"/>
      <c r="W1694" s="2"/>
    </row>
    <row r="1695" spans="18:23" x14ac:dyDescent="0.25">
      <c r="R1695"/>
      <c r="W1695" s="2"/>
    </row>
    <row r="1696" spans="18:23" x14ac:dyDescent="0.25">
      <c r="R1696"/>
      <c r="W1696" s="2"/>
    </row>
    <row r="1697" spans="18:23" x14ac:dyDescent="0.25">
      <c r="R1697"/>
      <c r="W1697" s="2"/>
    </row>
    <row r="1698" spans="18:23" x14ac:dyDescent="0.25">
      <c r="R1698"/>
      <c r="W1698" s="2"/>
    </row>
    <row r="1699" spans="18:23" x14ac:dyDescent="0.25">
      <c r="R1699"/>
      <c r="W1699" s="2"/>
    </row>
    <row r="1700" spans="18:23" x14ac:dyDescent="0.25">
      <c r="R1700"/>
      <c r="W1700" s="2"/>
    </row>
    <row r="1701" spans="18:23" x14ac:dyDescent="0.25">
      <c r="R1701"/>
      <c r="W1701" s="2"/>
    </row>
    <row r="1702" spans="18:23" x14ac:dyDescent="0.25">
      <c r="R1702"/>
      <c r="W1702" s="2"/>
    </row>
    <row r="1703" spans="18:23" x14ac:dyDescent="0.25">
      <c r="R1703"/>
      <c r="W1703" s="2"/>
    </row>
    <row r="1704" spans="18:23" x14ac:dyDescent="0.25">
      <c r="R1704"/>
      <c r="W1704" s="2"/>
    </row>
    <row r="1705" spans="18:23" x14ac:dyDescent="0.25">
      <c r="R1705"/>
      <c r="W1705" s="2"/>
    </row>
    <row r="1706" spans="18:23" x14ac:dyDescent="0.25">
      <c r="R1706"/>
      <c r="W1706" s="2"/>
    </row>
    <row r="1707" spans="18:23" x14ac:dyDescent="0.25">
      <c r="R1707"/>
      <c r="W1707" s="2"/>
    </row>
    <row r="1708" spans="18:23" x14ac:dyDescent="0.25">
      <c r="R1708"/>
      <c r="W1708" s="2"/>
    </row>
    <row r="1709" spans="18:23" x14ac:dyDescent="0.25">
      <c r="R1709"/>
      <c r="W1709" s="2"/>
    </row>
    <row r="1710" spans="18:23" x14ac:dyDescent="0.25">
      <c r="R1710"/>
      <c r="W1710" s="2"/>
    </row>
    <row r="1711" spans="18:23" x14ac:dyDescent="0.25">
      <c r="R1711"/>
      <c r="W1711" s="2"/>
    </row>
    <row r="1712" spans="18:23" x14ac:dyDescent="0.25">
      <c r="R1712"/>
      <c r="W1712" s="2"/>
    </row>
    <row r="1713" spans="18:23" x14ac:dyDescent="0.25">
      <c r="R1713"/>
      <c r="W1713" s="2"/>
    </row>
    <row r="1714" spans="18:23" x14ac:dyDescent="0.25">
      <c r="R1714"/>
      <c r="W1714" s="2"/>
    </row>
    <row r="1715" spans="18:23" x14ac:dyDescent="0.25">
      <c r="R1715"/>
      <c r="W1715" s="2"/>
    </row>
    <row r="1716" spans="18:23" x14ac:dyDescent="0.25">
      <c r="R1716"/>
      <c r="W1716" s="2"/>
    </row>
    <row r="1717" spans="18:23" x14ac:dyDescent="0.25">
      <c r="R1717"/>
      <c r="W1717" s="2"/>
    </row>
    <row r="1718" spans="18:23" x14ac:dyDescent="0.25">
      <c r="R1718"/>
      <c r="W1718" s="2"/>
    </row>
    <row r="1719" spans="18:23" x14ac:dyDescent="0.25">
      <c r="R1719"/>
      <c r="W1719" s="2"/>
    </row>
    <row r="1720" spans="18:23" x14ac:dyDescent="0.25">
      <c r="R1720"/>
      <c r="W1720" s="2"/>
    </row>
    <row r="1721" spans="18:23" x14ac:dyDescent="0.25">
      <c r="R1721"/>
      <c r="W1721" s="2"/>
    </row>
    <row r="1722" spans="18:23" x14ac:dyDescent="0.25">
      <c r="R1722"/>
      <c r="W1722" s="2"/>
    </row>
    <row r="1723" spans="18:23" x14ac:dyDescent="0.25">
      <c r="R1723"/>
      <c r="W1723" s="2"/>
    </row>
    <row r="1724" spans="18:23" x14ac:dyDescent="0.25">
      <c r="R1724"/>
      <c r="W1724" s="2"/>
    </row>
    <row r="1725" spans="18:23" x14ac:dyDescent="0.25">
      <c r="R1725"/>
      <c r="W1725" s="2"/>
    </row>
    <row r="1726" spans="18:23" x14ac:dyDescent="0.25">
      <c r="R1726"/>
      <c r="W1726" s="2"/>
    </row>
    <row r="1727" spans="18:23" x14ac:dyDescent="0.25">
      <c r="R1727"/>
      <c r="W1727" s="2"/>
    </row>
    <row r="1728" spans="18:23" x14ac:dyDescent="0.25">
      <c r="R1728"/>
      <c r="W1728" s="2"/>
    </row>
    <row r="1729" spans="18:23" x14ac:dyDescent="0.25">
      <c r="R1729"/>
      <c r="W1729" s="2"/>
    </row>
    <row r="1730" spans="18:23" x14ac:dyDescent="0.25">
      <c r="R1730"/>
      <c r="W1730" s="2"/>
    </row>
    <row r="1731" spans="18:23" x14ac:dyDescent="0.25">
      <c r="R1731"/>
      <c r="W1731" s="2"/>
    </row>
    <row r="1732" spans="18:23" x14ac:dyDescent="0.25">
      <c r="R1732"/>
      <c r="W1732" s="2"/>
    </row>
    <row r="1733" spans="18:23" x14ac:dyDescent="0.25">
      <c r="R1733"/>
      <c r="W1733" s="2"/>
    </row>
    <row r="1734" spans="18:23" x14ac:dyDescent="0.25">
      <c r="R1734"/>
      <c r="W1734" s="2"/>
    </row>
    <row r="1735" spans="18:23" x14ac:dyDescent="0.25">
      <c r="R1735"/>
      <c r="W1735" s="2"/>
    </row>
    <row r="1736" spans="18:23" x14ac:dyDescent="0.25">
      <c r="R1736"/>
      <c r="W1736" s="2"/>
    </row>
    <row r="1737" spans="18:23" x14ac:dyDescent="0.25">
      <c r="R1737"/>
      <c r="W1737" s="2"/>
    </row>
    <row r="1738" spans="18:23" x14ac:dyDescent="0.25">
      <c r="R1738"/>
      <c r="W1738" s="2"/>
    </row>
    <row r="1739" spans="18:23" x14ac:dyDescent="0.25">
      <c r="R1739"/>
      <c r="W1739" s="2"/>
    </row>
    <row r="1740" spans="18:23" x14ac:dyDescent="0.25">
      <c r="R1740"/>
      <c r="W1740" s="2"/>
    </row>
    <row r="1741" spans="18:23" x14ac:dyDescent="0.25">
      <c r="R1741"/>
      <c r="W1741" s="2"/>
    </row>
    <row r="1742" spans="18:23" x14ac:dyDescent="0.25">
      <c r="R1742"/>
      <c r="W1742" s="2"/>
    </row>
    <row r="1743" spans="18:23" x14ac:dyDescent="0.25">
      <c r="R1743"/>
      <c r="W1743" s="2"/>
    </row>
    <row r="1744" spans="18:23" x14ac:dyDescent="0.25">
      <c r="R1744"/>
      <c r="W1744" s="2"/>
    </row>
    <row r="1745" spans="18:23" x14ac:dyDescent="0.25">
      <c r="R1745"/>
      <c r="W1745" s="2"/>
    </row>
    <row r="1746" spans="18:23" x14ac:dyDescent="0.25">
      <c r="R1746"/>
      <c r="W1746" s="2"/>
    </row>
    <row r="1747" spans="18:23" x14ac:dyDescent="0.25">
      <c r="R1747"/>
      <c r="W1747" s="2"/>
    </row>
    <row r="1748" spans="18:23" x14ac:dyDescent="0.25">
      <c r="R1748"/>
      <c r="W1748" s="2"/>
    </row>
    <row r="1749" spans="18:23" x14ac:dyDescent="0.25">
      <c r="R1749"/>
      <c r="W1749" s="2"/>
    </row>
    <row r="1750" spans="18:23" x14ac:dyDescent="0.25">
      <c r="R1750"/>
      <c r="W1750" s="2"/>
    </row>
    <row r="1751" spans="18:23" x14ac:dyDescent="0.25">
      <c r="R1751"/>
      <c r="W1751" s="2"/>
    </row>
    <row r="1752" spans="18:23" x14ac:dyDescent="0.25">
      <c r="R1752"/>
      <c r="W1752" s="2"/>
    </row>
    <row r="1753" spans="18:23" x14ac:dyDescent="0.25">
      <c r="R1753"/>
      <c r="W1753" s="2"/>
    </row>
    <row r="1754" spans="18:23" x14ac:dyDescent="0.25">
      <c r="R1754"/>
      <c r="W1754" s="2"/>
    </row>
    <row r="1755" spans="18:23" x14ac:dyDescent="0.25">
      <c r="R1755"/>
      <c r="W1755" s="2"/>
    </row>
    <row r="1756" spans="18:23" x14ac:dyDescent="0.25">
      <c r="R1756"/>
      <c r="W1756" s="2"/>
    </row>
    <row r="1757" spans="18:23" x14ac:dyDescent="0.25">
      <c r="R1757"/>
      <c r="W1757" s="2"/>
    </row>
    <row r="1758" spans="18:23" x14ac:dyDescent="0.25">
      <c r="R1758"/>
      <c r="W1758" s="2"/>
    </row>
    <row r="1759" spans="18:23" x14ac:dyDescent="0.25">
      <c r="R1759"/>
      <c r="W1759" s="2"/>
    </row>
    <row r="1760" spans="18:23" x14ac:dyDescent="0.25">
      <c r="R1760"/>
      <c r="W1760" s="2"/>
    </row>
    <row r="1761" spans="18:23" x14ac:dyDescent="0.25">
      <c r="R1761"/>
      <c r="W1761" s="2"/>
    </row>
    <row r="1762" spans="18:23" x14ac:dyDescent="0.25">
      <c r="R1762"/>
      <c r="W1762" s="2"/>
    </row>
    <row r="1763" spans="18:23" x14ac:dyDescent="0.25">
      <c r="R1763"/>
      <c r="W1763" s="2"/>
    </row>
    <row r="1764" spans="18:23" x14ac:dyDescent="0.25">
      <c r="R1764"/>
      <c r="W1764" s="2"/>
    </row>
    <row r="1765" spans="18:23" x14ac:dyDescent="0.25">
      <c r="R1765"/>
      <c r="W1765" s="2"/>
    </row>
    <row r="1766" spans="18:23" x14ac:dyDescent="0.25">
      <c r="R1766"/>
      <c r="W1766" s="2"/>
    </row>
    <row r="1767" spans="18:23" x14ac:dyDescent="0.25">
      <c r="R1767"/>
      <c r="W1767" s="2"/>
    </row>
    <row r="1768" spans="18:23" x14ac:dyDescent="0.25">
      <c r="R1768"/>
      <c r="W1768" s="2"/>
    </row>
    <row r="1769" spans="18:23" x14ac:dyDescent="0.25">
      <c r="R1769"/>
      <c r="W1769" s="2"/>
    </row>
    <row r="1770" spans="18:23" x14ac:dyDescent="0.25">
      <c r="R1770"/>
      <c r="W1770" s="2"/>
    </row>
    <row r="1771" spans="18:23" x14ac:dyDescent="0.25">
      <c r="R1771"/>
      <c r="W1771" s="2"/>
    </row>
    <row r="1772" spans="18:23" x14ac:dyDescent="0.25">
      <c r="R1772"/>
      <c r="W1772" s="2"/>
    </row>
    <row r="1773" spans="18:23" x14ac:dyDescent="0.25">
      <c r="R1773"/>
      <c r="W1773" s="2"/>
    </row>
    <row r="1774" spans="18:23" x14ac:dyDescent="0.25">
      <c r="R1774"/>
      <c r="W1774" s="2"/>
    </row>
    <row r="1775" spans="18:23" x14ac:dyDescent="0.25">
      <c r="R1775"/>
      <c r="W1775" s="2"/>
    </row>
    <row r="1776" spans="18:23" x14ac:dyDescent="0.25">
      <c r="R1776"/>
      <c r="W1776" s="2"/>
    </row>
    <row r="1777" spans="18:23" x14ac:dyDescent="0.25">
      <c r="R1777"/>
      <c r="W1777" s="2"/>
    </row>
    <row r="1778" spans="18:23" x14ac:dyDescent="0.25">
      <c r="R1778"/>
      <c r="W1778" s="2"/>
    </row>
    <row r="1779" spans="18:23" x14ac:dyDescent="0.25">
      <c r="R1779"/>
      <c r="W1779" s="2"/>
    </row>
    <row r="1780" spans="18:23" x14ac:dyDescent="0.25">
      <c r="R1780"/>
      <c r="W1780" s="2"/>
    </row>
    <row r="1781" spans="18:23" x14ac:dyDescent="0.25">
      <c r="R1781"/>
      <c r="W1781" s="2"/>
    </row>
    <row r="1782" spans="18:23" x14ac:dyDescent="0.25">
      <c r="R1782"/>
      <c r="W1782" s="2"/>
    </row>
    <row r="1783" spans="18:23" x14ac:dyDescent="0.25">
      <c r="R1783"/>
      <c r="W1783" s="2"/>
    </row>
    <row r="1784" spans="18:23" x14ac:dyDescent="0.25">
      <c r="R1784"/>
      <c r="W1784" s="2"/>
    </row>
    <row r="1785" spans="18:23" x14ac:dyDescent="0.25">
      <c r="R1785"/>
      <c r="W1785" s="2"/>
    </row>
    <row r="1786" spans="18:23" x14ac:dyDescent="0.25">
      <c r="R1786"/>
      <c r="W1786" s="2"/>
    </row>
    <row r="1787" spans="18:23" x14ac:dyDescent="0.25">
      <c r="R1787"/>
      <c r="W1787" s="2"/>
    </row>
    <row r="1788" spans="18:23" x14ac:dyDescent="0.25">
      <c r="R1788"/>
      <c r="W1788" s="2"/>
    </row>
    <row r="1789" spans="18:23" x14ac:dyDescent="0.25">
      <c r="R1789"/>
      <c r="W1789" s="2"/>
    </row>
    <row r="1790" spans="18:23" x14ac:dyDescent="0.25">
      <c r="R1790"/>
      <c r="W1790" s="2"/>
    </row>
    <row r="1791" spans="18:23" x14ac:dyDescent="0.25">
      <c r="R1791"/>
      <c r="W1791" s="2"/>
    </row>
    <row r="1792" spans="18:23" x14ac:dyDescent="0.25">
      <c r="R1792"/>
      <c r="W1792" s="2"/>
    </row>
    <row r="1793" spans="18:23" x14ac:dyDescent="0.25">
      <c r="R1793"/>
      <c r="W1793" s="2"/>
    </row>
    <row r="1794" spans="18:23" x14ac:dyDescent="0.25">
      <c r="R1794"/>
      <c r="W1794" s="2"/>
    </row>
    <row r="1795" spans="18:23" x14ac:dyDescent="0.25">
      <c r="R1795"/>
      <c r="W1795" s="2"/>
    </row>
    <row r="1796" spans="18:23" x14ac:dyDescent="0.25">
      <c r="R1796"/>
      <c r="W1796" s="2"/>
    </row>
    <row r="1797" spans="18:23" x14ac:dyDescent="0.25">
      <c r="R1797"/>
      <c r="W1797" s="2"/>
    </row>
    <row r="1798" spans="18:23" x14ac:dyDescent="0.25">
      <c r="R1798"/>
      <c r="W1798" s="2"/>
    </row>
    <row r="1799" spans="18:23" x14ac:dyDescent="0.25">
      <c r="R1799"/>
      <c r="W1799" s="2"/>
    </row>
    <row r="1800" spans="18:23" x14ac:dyDescent="0.25">
      <c r="R1800"/>
      <c r="W1800" s="2"/>
    </row>
    <row r="1801" spans="18:23" x14ac:dyDescent="0.25">
      <c r="R1801"/>
      <c r="W1801" s="2"/>
    </row>
    <row r="1802" spans="18:23" x14ac:dyDescent="0.25">
      <c r="R1802"/>
      <c r="W1802" s="2"/>
    </row>
    <row r="1803" spans="18:23" x14ac:dyDescent="0.25">
      <c r="R1803"/>
      <c r="W1803" s="2"/>
    </row>
    <row r="1804" spans="18:23" x14ac:dyDescent="0.25">
      <c r="R1804"/>
      <c r="W1804" s="2"/>
    </row>
    <row r="1805" spans="18:23" x14ac:dyDescent="0.25">
      <c r="R1805"/>
      <c r="W1805" s="2"/>
    </row>
    <row r="1806" spans="18:23" x14ac:dyDescent="0.25">
      <c r="R1806"/>
      <c r="W1806" s="2"/>
    </row>
    <row r="1807" spans="18:23" x14ac:dyDescent="0.25">
      <c r="R1807"/>
      <c r="W1807" s="2"/>
    </row>
    <row r="1808" spans="18:23" x14ac:dyDescent="0.25">
      <c r="R1808"/>
      <c r="W1808" s="2"/>
    </row>
    <row r="1809" spans="18:23" x14ac:dyDescent="0.25">
      <c r="R1809"/>
      <c r="W1809" s="2"/>
    </row>
    <row r="1810" spans="18:23" x14ac:dyDescent="0.25">
      <c r="R1810"/>
      <c r="W1810" s="2"/>
    </row>
    <row r="1811" spans="18:23" x14ac:dyDescent="0.25">
      <c r="R1811"/>
      <c r="W1811" s="2"/>
    </row>
    <row r="1812" spans="18:23" x14ac:dyDescent="0.25">
      <c r="R1812"/>
      <c r="W1812" s="2"/>
    </row>
    <row r="1813" spans="18:23" x14ac:dyDescent="0.25">
      <c r="R1813"/>
      <c r="W1813" s="2"/>
    </row>
    <row r="1814" spans="18:23" x14ac:dyDescent="0.25">
      <c r="R1814"/>
      <c r="W1814" s="2"/>
    </row>
    <row r="1815" spans="18:23" x14ac:dyDescent="0.25">
      <c r="R1815"/>
      <c r="W1815" s="2"/>
    </row>
    <row r="1816" spans="18:23" x14ac:dyDescent="0.25">
      <c r="R1816"/>
      <c r="W1816" s="2"/>
    </row>
    <row r="1817" spans="18:23" x14ac:dyDescent="0.25">
      <c r="R1817"/>
      <c r="W1817" s="2"/>
    </row>
    <row r="1818" spans="18:23" x14ac:dyDescent="0.25">
      <c r="R1818"/>
      <c r="W1818" s="2"/>
    </row>
    <row r="1819" spans="18:23" x14ac:dyDescent="0.25">
      <c r="R1819"/>
      <c r="W1819" s="2"/>
    </row>
    <row r="1820" spans="18:23" x14ac:dyDescent="0.25">
      <c r="R1820"/>
      <c r="W1820" s="2"/>
    </row>
    <row r="1821" spans="18:23" x14ac:dyDescent="0.25">
      <c r="R1821"/>
      <c r="W1821" s="2"/>
    </row>
    <row r="1822" spans="18:23" x14ac:dyDescent="0.25">
      <c r="R1822"/>
      <c r="W1822" s="2"/>
    </row>
    <row r="1823" spans="18:23" x14ac:dyDescent="0.25">
      <c r="R1823"/>
      <c r="W1823" s="2"/>
    </row>
    <row r="1824" spans="18:23" x14ac:dyDescent="0.25">
      <c r="R1824"/>
      <c r="W1824" s="2"/>
    </row>
    <row r="1825" spans="18:23" x14ac:dyDescent="0.25">
      <c r="R1825"/>
      <c r="W1825" s="2"/>
    </row>
    <row r="1826" spans="18:23" x14ac:dyDescent="0.25">
      <c r="R1826"/>
      <c r="W1826" s="2"/>
    </row>
    <row r="1827" spans="18:23" x14ac:dyDescent="0.25">
      <c r="R1827"/>
      <c r="W1827" s="2"/>
    </row>
    <row r="1828" spans="18:23" x14ac:dyDescent="0.25">
      <c r="R1828"/>
      <c r="W1828" s="2"/>
    </row>
    <row r="1829" spans="18:23" x14ac:dyDescent="0.25">
      <c r="R1829"/>
      <c r="W1829" s="2"/>
    </row>
    <row r="1830" spans="18:23" x14ac:dyDescent="0.25">
      <c r="R1830"/>
      <c r="W1830" s="2"/>
    </row>
    <row r="1831" spans="18:23" x14ac:dyDescent="0.25">
      <c r="R1831"/>
      <c r="W1831" s="2"/>
    </row>
    <row r="1832" spans="18:23" x14ac:dyDescent="0.25">
      <c r="R1832"/>
      <c r="W1832" s="2"/>
    </row>
    <row r="1833" spans="18:23" x14ac:dyDescent="0.25">
      <c r="R1833"/>
      <c r="W1833" s="2"/>
    </row>
    <row r="1834" spans="18:23" x14ac:dyDescent="0.25">
      <c r="R1834"/>
      <c r="W1834" s="2"/>
    </row>
    <row r="1835" spans="18:23" x14ac:dyDescent="0.25">
      <c r="R1835"/>
      <c r="W1835" s="2"/>
    </row>
    <row r="1836" spans="18:23" x14ac:dyDescent="0.25">
      <c r="R1836"/>
      <c r="W1836" s="2"/>
    </row>
    <row r="1837" spans="18:23" x14ac:dyDescent="0.25">
      <c r="R1837"/>
      <c r="W1837" s="2"/>
    </row>
    <row r="1838" spans="18:23" x14ac:dyDescent="0.25">
      <c r="R1838"/>
      <c r="W1838" s="2"/>
    </row>
    <row r="1839" spans="18:23" x14ac:dyDescent="0.25">
      <c r="R1839"/>
      <c r="W1839" s="2"/>
    </row>
    <row r="1840" spans="18:23" x14ac:dyDescent="0.25">
      <c r="R1840"/>
      <c r="W1840" s="2"/>
    </row>
    <row r="1841" spans="18:23" x14ac:dyDescent="0.25">
      <c r="R1841"/>
      <c r="W1841" s="2"/>
    </row>
    <row r="1842" spans="18:23" x14ac:dyDescent="0.25">
      <c r="R1842"/>
      <c r="W1842" s="2"/>
    </row>
    <row r="1843" spans="18:23" x14ac:dyDescent="0.25">
      <c r="R1843"/>
      <c r="W1843" s="2"/>
    </row>
    <row r="1844" spans="18:23" x14ac:dyDescent="0.25">
      <c r="R1844"/>
      <c r="W1844" s="2"/>
    </row>
    <row r="1845" spans="18:23" x14ac:dyDescent="0.25">
      <c r="R1845"/>
      <c r="W1845" s="2"/>
    </row>
    <row r="1846" spans="18:23" x14ac:dyDescent="0.25">
      <c r="R1846"/>
      <c r="W1846" s="2"/>
    </row>
    <row r="1847" spans="18:23" x14ac:dyDescent="0.25">
      <c r="R1847"/>
      <c r="W1847" s="2"/>
    </row>
    <row r="1848" spans="18:23" x14ac:dyDescent="0.25">
      <c r="R1848"/>
      <c r="W1848" s="2"/>
    </row>
    <row r="1849" spans="18:23" x14ac:dyDescent="0.25">
      <c r="R1849"/>
      <c r="W1849" s="2"/>
    </row>
    <row r="1850" spans="18:23" x14ac:dyDescent="0.25">
      <c r="R1850"/>
      <c r="W1850" s="2"/>
    </row>
    <row r="1851" spans="18:23" x14ac:dyDescent="0.25">
      <c r="R1851"/>
      <c r="W1851" s="2"/>
    </row>
    <row r="1852" spans="18:23" x14ac:dyDescent="0.25">
      <c r="R1852"/>
      <c r="W1852" s="2"/>
    </row>
    <row r="1853" spans="18:23" x14ac:dyDescent="0.25">
      <c r="R1853"/>
      <c r="W1853" s="2"/>
    </row>
    <row r="1854" spans="18:23" x14ac:dyDescent="0.25">
      <c r="R1854"/>
      <c r="W1854" s="2"/>
    </row>
    <row r="1855" spans="18:23" x14ac:dyDescent="0.25">
      <c r="R1855"/>
      <c r="W1855" s="2"/>
    </row>
    <row r="1856" spans="18:23" x14ac:dyDescent="0.25">
      <c r="R1856"/>
      <c r="W1856" s="2"/>
    </row>
    <row r="1857" spans="18:23" x14ac:dyDescent="0.25">
      <c r="R1857"/>
      <c r="W1857" s="2"/>
    </row>
    <row r="1858" spans="18:23" x14ac:dyDescent="0.25">
      <c r="R1858"/>
      <c r="W1858" s="2"/>
    </row>
    <row r="1859" spans="18:23" x14ac:dyDescent="0.25">
      <c r="R1859"/>
      <c r="W1859" s="2"/>
    </row>
    <row r="1860" spans="18:23" x14ac:dyDescent="0.25">
      <c r="R1860"/>
      <c r="W1860" s="2"/>
    </row>
    <row r="1861" spans="18:23" x14ac:dyDescent="0.25">
      <c r="R1861"/>
      <c r="W1861" s="2"/>
    </row>
    <row r="1862" spans="18:23" x14ac:dyDescent="0.25">
      <c r="R1862"/>
      <c r="W1862" s="2"/>
    </row>
    <row r="1863" spans="18:23" x14ac:dyDescent="0.25">
      <c r="R1863"/>
      <c r="W1863" s="2"/>
    </row>
    <row r="1864" spans="18:23" x14ac:dyDescent="0.25">
      <c r="R1864"/>
      <c r="W1864" s="2"/>
    </row>
    <row r="1865" spans="18:23" x14ac:dyDescent="0.25">
      <c r="R1865"/>
      <c r="W1865" s="2"/>
    </row>
    <row r="1866" spans="18:23" x14ac:dyDescent="0.25">
      <c r="R1866"/>
      <c r="W1866" s="2"/>
    </row>
    <row r="1867" spans="18:23" x14ac:dyDescent="0.25">
      <c r="R1867"/>
      <c r="W1867" s="2"/>
    </row>
    <row r="1868" spans="18:23" x14ac:dyDescent="0.25">
      <c r="R1868"/>
      <c r="W1868" s="2"/>
    </row>
    <row r="1869" spans="18:23" x14ac:dyDescent="0.25">
      <c r="R1869"/>
      <c r="W1869" s="2"/>
    </row>
    <row r="1870" spans="18:23" x14ac:dyDescent="0.25">
      <c r="R1870"/>
      <c r="W1870" s="2"/>
    </row>
    <row r="1871" spans="18:23" x14ac:dyDescent="0.25">
      <c r="R1871"/>
      <c r="W1871" s="2"/>
    </row>
    <row r="1872" spans="18:23" x14ac:dyDescent="0.25">
      <c r="R1872"/>
      <c r="W1872" s="2"/>
    </row>
    <row r="1873" spans="18:23" x14ac:dyDescent="0.25">
      <c r="R1873"/>
      <c r="W1873" s="2"/>
    </row>
    <row r="1874" spans="18:23" x14ac:dyDescent="0.25">
      <c r="R1874"/>
      <c r="W1874" s="2"/>
    </row>
    <row r="1875" spans="18:23" x14ac:dyDescent="0.25">
      <c r="R1875"/>
      <c r="W1875" s="2"/>
    </row>
    <row r="1876" spans="18:23" x14ac:dyDescent="0.25">
      <c r="R1876"/>
      <c r="W1876" s="2"/>
    </row>
    <row r="1877" spans="18:23" x14ac:dyDescent="0.25">
      <c r="R1877"/>
      <c r="W1877" s="2"/>
    </row>
    <row r="1878" spans="18:23" x14ac:dyDescent="0.25">
      <c r="R1878"/>
      <c r="W1878" s="2"/>
    </row>
    <row r="1879" spans="18:23" x14ac:dyDescent="0.25">
      <c r="R1879"/>
      <c r="W1879" s="2"/>
    </row>
    <row r="1880" spans="18:23" x14ac:dyDescent="0.25">
      <c r="R1880"/>
      <c r="W1880" s="2"/>
    </row>
    <row r="1881" spans="18:23" x14ac:dyDescent="0.25">
      <c r="R1881"/>
      <c r="W1881" s="2"/>
    </row>
    <row r="1882" spans="18:23" x14ac:dyDescent="0.25">
      <c r="R1882"/>
      <c r="W1882" s="2"/>
    </row>
    <row r="1883" spans="18:23" x14ac:dyDescent="0.25">
      <c r="R1883"/>
      <c r="W1883" s="2"/>
    </row>
    <row r="1884" spans="18:23" x14ac:dyDescent="0.25">
      <c r="R1884"/>
      <c r="W1884" s="2"/>
    </row>
    <row r="1885" spans="18:23" x14ac:dyDescent="0.25">
      <c r="R1885"/>
      <c r="W1885" s="2"/>
    </row>
    <row r="1886" spans="18:23" x14ac:dyDescent="0.25">
      <c r="R1886"/>
      <c r="W1886" s="2"/>
    </row>
    <row r="1887" spans="18:23" x14ac:dyDescent="0.25">
      <c r="R1887"/>
      <c r="W1887" s="2"/>
    </row>
    <row r="1888" spans="18:23" x14ac:dyDescent="0.25">
      <c r="R1888"/>
      <c r="W1888" s="2"/>
    </row>
    <row r="1889" spans="18:23" x14ac:dyDescent="0.25">
      <c r="R1889"/>
      <c r="W1889" s="2"/>
    </row>
    <row r="1890" spans="18:23" x14ac:dyDescent="0.25">
      <c r="R1890"/>
      <c r="W1890" s="2"/>
    </row>
    <row r="1891" spans="18:23" x14ac:dyDescent="0.25">
      <c r="R1891"/>
      <c r="W1891" s="2"/>
    </row>
    <row r="1892" spans="18:23" x14ac:dyDescent="0.25">
      <c r="R1892"/>
      <c r="W1892" s="2"/>
    </row>
    <row r="1893" spans="18:23" x14ac:dyDescent="0.25">
      <c r="R1893"/>
      <c r="W1893" s="2"/>
    </row>
    <row r="1894" spans="18:23" x14ac:dyDescent="0.25">
      <c r="R1894"/>
      <c r="W1894" s="2"/>
    </row>
    <row r="1895" spans="18:23" x14ac:dyDescent="0.25">
      <c r="R1895"/>
      <c r="W1895" s="2"/>
    </row>
    <row r="1896" spans="18:23" x14ac:dyDescent="0.25">
      <c r="R1896"/>
      <c r="W1896" s="2"/>
    </row>
    <row r="1897" spans="18:23" x14ac:dyDescent="0.25">
      <c r="R1897"/>
      <c r="W1897" s="2"/>
    </row>
    <row r="1898" spans="18:23" x14ac:dyDescent="0.25">
      <c r="R1898"/>
      <c r="W1898" s="2"/>
    </row>
    <row r="1899" spans="18:23" x14ac:dyDescent="0.25">
      <c r="R1899"/>
      <c r="W1899" s="2"/>
    </row>
    <row r="1900" spans="18:23" x14ac:dyDescent="0.25">
      <c r="R1900"/>
      <c r="W1900" s="2"/>
    </row>
    <row r="1901" spans="18:23" x14ac:dyDescent="0.25">
      <c r="R1901"/>
      <c r="W1901" s="2"/>
    </row>
    <row r="1902" spans="18:23" x14ac:dyDescent="0.25">
      <c r="R1902"/>
      <c r="W1902" s="2"/>
    </row>
    <row r="1903" spans="18:23" x14ac:dyDescent="0.25">
      <c r="R1903"/>
      <c r="W1903" s="2"/>
    </row>
    <row r="1904" spans="18:23" x14ac:dyDescent="0.25">
      <c r="R1904"/>
      <c r="W1904" s="2"/>
    </row>
    <row r="1905" spans="18:23" x14ac:dyDescent="0.25">
      <c r="R1905"/>
      <c r="W1905" s="2"/>
    </row>
    <row r="1906" spans="18:23" x14ac:dyDescent="0.25">
      <c r="R1906"/>
      <c r="W1906" s="2"/>
    </row>
    <row r="1907" spans="18:23" x14ac:dyDescent="0.25">
      <c r="R1907"/>
      <c r="W1907" s="2"/>
    </row>
    <row r="1908" spans="18:23" x14ac:dyDescent="0.25">
      <c r="R1908"/>
      <c r="W1908" s="2"/>
    </row>
    <row r="1909" spans="18:23" x14ac:dyDescent="0.25">
      <c r="R1909"/>
      <c r="W1909" s="2"/>
    </row>
    <row r="1910" spans="18:23" x14ac:dyDescent="0.25">
      <c r="R1910"/>
      <c r="W1910" s="2"/>
    </row>
    <row r="1911" spans="18:23" x14ac:dyDescent="0.25">
      <c r="R1911"/>
      <c r="W1911" s="2"/>
    </row>
    <row r="1912" spans="18:23" x14ac:dyDescent="0.25">
      <c r="R1912"/>
      <c r="W1912" s="2"/>
    </row>
    <row r="1913" spans="18:23" x14ac:dyDescent="0.25">
      <c r="R1913"/>
      <c r="W1913" s="2"/>
    </row>
    <row r="1914" spans="18:23" x14ac:dyDescent="0.25">
      <c r="R1914"/>
      <c r="W1914" s="2"/>
    </row>
    <row r="1915" spans="18:23" x14ac:dyDescent="0.25">
      <c r="R1915"/>
      <c r="W1915" s="2"/>
    </row>
    <row r="1916" spans="18:23" x14ac:dyDescent="0.25">
      <c r="R1916"/>
      <c r="W1916" s="2"/>
    </row>
    <row r="1917" spans="18:23" x14ac:dyDescent="0.25">
      <c r="R1917"/>
      <c r="W1917" s="2"/>
    </row>
    <row r="1918" spans="18:23" x14ac:dyDescent="0.25">
      <c r="R1918"/>
      <c r="W1918" s="2"/>
    </row>
    <row r="1919" spans="18:23" x14ac:dyDescent="0.25">
      <c r="R1919"/>
      <c r="W1919" s="2"/>
    </row>
    <row r="1920" spans="18:23" x14ac:dyDescent="0.25">
      <c r="R1920"/>
      <c r="W1920" s="2"/>
    </row>
    <row r="1921" spans="18:23" x14ac:dyDescent="0.25">
      <c r="R1921"/>
      <c r="W1921" s="2"/>
    </row>
    <row r="1922" spans="18:23" x14ac:dyDescent="0.25">
      <c r="R1922"/>
      <c r="W1922" s="2"/>
    </row>
    <row r="1923" spans="18:23" x14ac:dyDescent="0.25">
      <c r="R1923"/>
      <c r="W1923" s="2"/>
    </row>
    <row r="1924" spans="18:23" x14ac:dyDescent="0.25">
      <c r="R1924"/>
      <c r="W1924" s="2"/>
    </row>
    <row r="1925" spans="18:23" x14ac:dyDescent="0.25">
      <c r="R1925"/>
      <c r="W1925" s="2"/>
    </row>
    <row r="1926" spans="18:23" x14ac:dyDescent="0.25">
      <c r="R1926"/>
      <c r="W1926" s="2"/>
    </row>
    <row r="1927" spans="18:23" x14ac:dyDescent="0.25">
      <c r="R1927"/>
      <c r="W1927" s="2"/>
    </row>
    <row r="1928" spans="18:23" x14ac:dyDescent="0.25">
      <c r="R1928"/>
      <c r="W1928" s="2"/>
    </row>
    <row r="1929" spans="18:23" x14ac:dyDescent="0.25">
      <c r="R1929"/>
      <c r="W1929" s="2"/>
    </row>
    <row r="1930" spans="18:23" x14ac:dyDescent="0.25">
      <c r="R1930"/>
      <c r="W1930" s="2"/>
    </row>
    <row r="1931" spans="18:23" x14ac:dyDescent="0.25">
      <c r="R1931"/>
      <c r="W1931" s="2"/>
    </row>
    <row r="1932" spans="18:23" x14ac:dyDescent="0.25">
      <c r="R1932"/>
      <c r="W1932" s="2"/>
    </row>
    <row r="1933" spans="18:23" x14ac:dyDescent="0.25">
      <c r="R1933"/>
      <c r="W1933" s="2"/>
    </row>
    <row r="1934" spans="18:23" x14ac:dyDescent="0.25">
      <c r="R1934"/>
      <c r="W1934" s="2"/>
    </row>
    <row r="1935" spans="18:23" x14ac:dyDescent="0.25">
      <c r="R1935"/>
      <c r="W1935" s="2"/>
    </row>
    <row r="1936" spans="18:23" x14ac:dyDescent="0.25">
      <c r="R1936"/>
      <c r="W1936" s="2"/>
    </row>
    <row r="1937" spans="18:23" x14ac:dyDescent="0.25">
      <c r="R1937"/>
      <c r="W1937" s="2"/>
    </row>
    <row r="1938" spans="18:23" x14ac:dyDescent="0.25">
      <c r="R1938"/>
      <c r="W1938" s="2"/>
    </row>
    <row r="1939" spans="18:23" x14ac:dyDescent="0.25">
      <c r="R1939"/>
      <c r="W1939" s="2"/>
    </row>
    <row r="1940" spans="18:23" x14ac:dyDescent="0.25">
      <c r="R1940"/>
      <c r="W1940" s="2"/>
    </row>
    <row r="1941" spans="18:23" x14ac:dyDescent="0.25">
      <c r="R1941"/>
      <c r="W1941" s="2"/>
    </row>
    <row r="1942" spans="18:23" x14ac:dyDescent="0.25">
      <c r="R1942"/>
      <c r="W1942" s="2"/>
    </row>
    <row r="1943" spans="18:23" x14ac:dyDescent="0.25">
      <c r="R1943"/>
      <c r="W1943" s="2"/>
    </row>
    <row r="1944" spans="18:23" x14ac:dyDescent="0.25">
      <c r="R1944"/>
      <c r="W1944" s="2"/>
    </row>
    <row r="1945" spans="18:23" x14ac:dyDescent="0.25">
      <c r="R1945"/>
      <c r="W1945" s="2"/>
    </row>
    <row r="1946" spans="18:23" x14ac:dyDescent="0.25">
      <c r="R1946"/>
      <c r="W1946" s="2"/>
    </row>
    <row r="1947" spans="18:23" x14ac:dyDescent="0.25">
      <c r="R1947"/>
      <c r="W1947" s="2"/>
    </row>
    <row r="1948" spans="18:23" x14ac:dyDescent="0.25">
      <c r="R1948"/>
      <c r="W1948" s="2"/>
    </row>
    <row r="1949" spans="18:23" x14ac:dyDescent="0.25">
      <c r="R1949"/>
      <c r="W1949" s="2"/>
    </row>
    <row r="1950" spans="18:23" x14ac:dyDescent="0.25">
      <c r="R1950"/>
      <c r="W1950" s="2"/>
    </row>
    <row r="1951" spans="18:23" x14ac:dyDescent="0.25">
      <c r="R1951"/>
      <c r="W1951" s="2"/>
    </row>
    <row r="1952" spans="18:23" x14ac:dyDescent="0.25">
      <c r="R1952"/>
      <c r="W1952" s="2"/>
    </row>
    <row r="1953" spans="18:23" x14ac:dyDescent="0.25">
      <c r="R1953"/>
      <c r="W1953" s="2"/>
    </row>
    <row r="1954" spans="18:23" x14ac:dyDescent="0.25">
      <c r="R1954"/>
      <c r="W1954" s="2"/>
    </row>
    <row r="1955" spans="18:23" x14ac:dyDescent="0.25">
      <c r="R1955"/>
      <c r="W1955" s="2"/>
    </row>
    <row r="1956" spans="18:23" x14ac:dyDescent="0.25">
      <c r="R1956"/>
      <c r="W1956" s="2"/>
    </row>
    <row r="1957" spans="18:23" x14ac:dyDescent="0.25">
      <c r="R1957"/>
      <c r="W1957" s="2"/>
    </row>
    <row r="1958" spans="18:23" x14ac:dyDescent="0.25">
      <c r="R1958"/>
      <c r="W1958" s="2"/>
    </row>
    <row r="1959" spans="18:23" x14ac:dyDescent="0.25">
      <c r="R1959"/>
      <c r="W1959" s="2"/>
    </row>
    <row r="1960" spans="18:23" x14ac:dyDescent="0.25">
      <c r="R1960"/>
      <c r="W1960" s="2"/>
    </row>
    <row r="1961" spans="18:23" x14ac:dyDescent="0.25">
      <c r="R1961"/>
      <c r="W1961" s="2"/>
    </row>
    <row r="1962" spans="18:23" x14ac:dyDescent="0.25">
      <c r="R1962"/>
      <c r="W1962" s="2"/>
    </row>
    <row r="1963" spans="18:23" x14ac:dyDescent="0.25">
      <c r="R1963"/>
      <c r="W1963" s="2"/>
    </row>
    <row r="1964" spans="18:23" x14ac:dyDescent="0.25">
      <c r="R1964"/>
      <c r="W1964" s="2"/>
    </row>
    <row r="1965" spans="18:23" x14ac:dyDescent="0.25">
      <c r="R1965"/>
      <c r="W1965" s="2"/>
    </row>
    <row r="1966" spans="18:23" x14ac:dyDescent="0.25">
      <c r="R1966"/>
      <c r="W1966" s="2"/>
    </row>
    <row r="1967" spans="18:23" x14ac:dyDescent="0.25">
      <c r="R1967"/>
      <c r="W1967" s="2"/>
    </row>
    <row r="1968" spans="18:23" x14ac:dyDescent="0.25">
      <c r="R1968"/>
      <c r="W1968" s="2"/>
    </row>
    <row r="1969" spans="18:23" x14ac:dyDescent="0.25">
      <c r="R1969"/>
      <c r="W1969" s="2"/>
    </row>
    <row r="1970" spans="18:23" x14ac:dyDescent="0.25">
      <c r="R1970"/>
      <c r="W1970" s="2"/>
    </row>
    <row r="1971" spans="18:23" x14ac:dyDescent="0.25">
      <c r="R1971"/>
      <c r="W1971" s="2"/>
    </row>
    <row r="1972" spans="18:23" x14ac:dyDescent="0.25">
      <c r="R1972"/>
      <c r="W1972" s="2"/>
    </row>
    <row r="1973" spans="18:23" x14ac:dyDescent="0.25">
      <c r="R1973"/>
      <c r="W1973" s="2"/>
    </row>
    <row r="1974" spans="18:23" x14ac:dyDescent="0.25">
      <c r="R1974"/>
      <c r="W1974" s="2"/>
    </row>
    <row r="1975" spans="18:23" x14ac:dyDescent="0.25">
      <c r="R1975"/>
      <c r="W1975" s="2"/>
    </row>
    <row r="1976" spans="18:23" x14ac:dyDescent="0.25">
      <c r="R1976"/>
      <c r="W1976" s="2"/>
    </row>
    <row r="1977" spans="18:23" x14ac:dyDescent="0.25">
      <c r="R1977"/>
      <c r="W1977" s="2"/>
    </row>
    <row r="1978" spans="18:23" x14ac:dyDescent="0.25">
      <c r="R1978"/>
      <c r="W1978" s="2"/>
    </row>
    <row r="1979" spans="18:23" x14ac:dyDescent="0.25">
      <c r="R1979"/>
      <c r="W1979" s="2"/>
    </row>
    <row r="1980" spans="18:23" x14ac:dyDescent="0.25">
      <c r="R1980"/>
      <c r="W1980" s="2"/>
    </row>
    <row r="1981" spans="18:23" x14ac:dyDescent="0.25">
      <c r="R1981"/>
      <c r="W1981" s="2"/>
    </row>
    <row r="1982" spans="18:23" x14ac:dyDescent="0.25">
      <c r="R1982"/>
      <c r="W1982" s="2"/>
    </row>
    <row r="1983" spans="18:23" x14ac:dyDescent="0.25">
      <c r="R1983"/>
      <c r="W1983" s="2"/>
    </row>
    <row r="1984" spans="18:23" x14ac:dyDescent="0.25">
      <c r="R1984"/>
      <c r="W1984" s="2"/>
    </row>
    <row r="1985" spans="18:23" x14ac:dyDescent="0.25">
      <c r="R1985"/>
      <c r="W1985" s="2"/>
    </row>
    <row r="1986" spans="18:23" x14ac:dyDescent="0.25">
      <c r="R1986"/>
      <c r="W1986" s="2"/>
    </row>
    <row r="1987" spans="18:23" x14ac:dyDescent="0.25">
      <c r="R1987"/>
      <c r="W1987" s="2"/>
    </row>
    <row r="1988" spans="18:23" x14ac:dyDescent="0.25">
      <c r="R1988"/>
      <c r="W1988" s="2"/>
    </row>
    <row r="1989" spans="18:23" x14ac:dyDescent="0.25">
      <c r="R1989"/>
      <c r="W1989" s="2"/>
    </row>
    <row r="1990" spans="18:23" x14ac:dyDescent="0.25">
      <c r="R1990"/>
      <c r="W1990" s="2"/>
    </row>
    <row r="1991" spans="18:23" x14ac:dyDescent="0.25">
      <c r="R1991"/>
      <c r="W1991" s="2"/>
    </row>
    <row r="1992" spans="18:23" x14ac:dyDescent="0.25">
      <c r="R1992"/>
      <c r="W1992" s="2"/>
    </row>
    <row r="1993" spans="18:23" x14ac:dyDescent="0.25">
      <c r="R1993"/>
      <c r="W1993" s="2"/>
    </row>
    <row r="1994" spans="18:23" x14ac:dyDescent="0.25">
      <c r="R1994"/>
      <c r="W1994" s="2"/>
    </row>
    <row r="1995" spans="18:23" x14ac:dyDescent="0.25">
      <c r="R1995"/>
      <c r="W1995" s="2"/>
    </row>
    <row r="1996" spans="18:23" x14ac:dyDescent="0.25">
      <c r="R1996"/>
      <c r="W1996" s="2"/>
    </row>
    <row r="1997" spans="18:23" x14ac:dyDescent="0.25">
      <c r="R1997"/>
      <c r="W1997" s="2"/>
    </row>
    <row r="1998" spans="18:23" x14ac:dyDescent="0.25">
      <c r="R1998"/>
      <c r="W1998" s="2"/>
    </row>
    <row r="1999" spans="18:23" x14ac:dyDescent="0.25">
      <c r="R1999"/>
      <c r="W1999" s="2"/>
    </row>
    <row r="2000" spans="18:23" x14ac:dyDescent="0.25">
      <c r="R2000"/>
      <c r="W2000" s="2"/>
    </row>
    <row r="2001" spans="18:23" x14ac:dyDescent="0.25">
      <c r="R2001"/>
      <c r="W2001" s="2"/>
    </row>
    <row r="2002" spans="18:23" x14ac:dyDescent="0.25">
      <c r="R2002"/>
      <c r="W2002" s="2"/>
    </row>
    <row r="2003" spans="18:23" x14ac:dyDescent="0.25">
      <c r="R2003"/>
      <c r="W2003" s="2"/>
    </row>
    <row r="2004" spans="18:23" x14ac:dyDescent="0.25">
      <c r="R2004"/>
      <c r="W2004" s="2"/>
    </row>
    <row r="2005" spans="18:23" x14ac:dyDescent="0.25">
      <c r="R2005"/>
      <c r="W2005" s="2"/>
    </row>
    <row r="2006" spans="18:23" x14ac:dyDescent="0.25">
      <c r="R2006"/>
      <c r="W2006" s="2"/>
    </row>
    <row r="2007" spans="18:23" x14ac:dyDescent="0.25">
      <c r="R2007"/>
      <c r="W2007" s="2"/>
    </row>
    <row r="2008" spans="18:23" x14ac:dyDescent="0.25">
      <c r="R2008"/>
      <c r="W2008" s="2"/>
    </row>
    <row r="2009" spans="18:23" x14ac:dyDescent="0.25">
      <c r="R2009"/>
      <c r="W2009" s="2"/>
    </row>
    <row r="2010" spans="18:23" x14ac:dyDescent="0.25">
      <c r="R2010"/>
      <c r="W2010" s="2"/>
    </row>
    <row r="2011" spans="18:23" x14ac:dyDescent="0.25">
      <c r="R2011"/>
      <c r="W2011" s="2"/>
    </row>
    <row r="2012" spans="18:23" x14ac:dyDescent="0.25">
      <c r="R2012"/>
      <c r="W2012" s="2"/>
    </row>
    <row r="2013" spans="18:23" x14ac:dyDescent="0.25">
      <c r="R2013"/>
      <c r="W2013" s="2"/>
    </row>
    <row r="2014" spans="18:23" x14ac:dyDescent="0.25">
      <c r="R2014"/>
      <c r="W2014" s="2"/>
    </row>
    <row r="2015" spans="18:23" x14ac:dyDescent="0.25">
      <c r="R2015"/>
      <c r="W2015" s="2"/>
    </row>
    <row r="2016" spans="18:23" x14ac:dyDescent="0.25">
      <c r="R2016"/>
      <c r="W2016" s="2"/>
    </row>
    <row r="2017" spans="18:23" x14ac:dyDescent="0.25">
      <c r="R2017"/>
      <c r="W2017" s="2"/>
    </row>
    <row r="2018" spans="18:23" x14ac:dyDescent="0.25">
      <c r="R2018"/>
      <c r="W2018" s="2"/>
    </row>
    <row r="2019" spans="18:23" x14ac:dyDescent="0.25">
      <c r="R2019"/>
      <c r="W2019" s="2"/>
    </row>
    <row r="2020" spans="18:23" x14ac:dyDescent="0.25">
      <c r="R2020"/>
      <c r="W2020" s="2"/>
    </row>
    <row r="2021" spans="18:23" x14ac:dyDescent="0.25">
      <c r="R2021"/>
      <c r="W2021" s="2"/>
    </row>
    <row r="2022" spans="18:23" x14ac:dyDescent="0.25">
      <c r="R2022"/>
      <c r="W2022" s="2"/>
    </row>
    <row r="2023" spans="18:23" x14ac:dyDescent="0.25">
      <c r="R2023"/>
      <c r="W2023" s="2"/>
    </row>
    <row r="2024" spans="18:23" x14ac:dyDescent="0.25">
      <c r="R2024"/>
      <c r="W2024" s="2"/>
    </row>
    <row r="2025" spans="18:23" x14ac:dyDescent="0.25">
      <c r="R2025"/>
      <c r="W2025" s="2"/>
    </row>
    <row r="2026" spans="18:23" x14ac:dyDescent="0.25">
      <c r="R2026"/>
      <c r="W2026" s="2"/>
    </row>
    <row r="2027" spans="18:23" x14ac:dyDescent="0.25">
      <c r="R2027"/>
      <c r="W2027" s="2"/>
    </row>
    <row r="2028" spans="18:23" x14ac:dyDescent="0.25">
      <c r="R2028"/>
      <c r="W2028" s="2"/>
    </row>
    <row r="2029" spans="18:23" x14ac:dyDescent="0.25">
      <c r="R2029"/>
      <c r="W2029" s="2"/>
    </row>
    <row r="2030" spans="18:23" x14ac:dyDescent="0.25">
      <c r="R2030"/>
      <c r="W2030" s="2"/>
    </row>
    <row r="2031" spans="18:23" x14ac:dyDescent="0.25">
      <c r="R2031"/>
      <c r="W2031" s="2"/>
    </row>
    <row r="2032" spans="18:23" x14ac:dyDescent="0.25">
      <c r="R2032"/>
      <c r="W2032" s="2"/>
    </row>
    <row r="2033" spans="18:23" x14ac:dyDescent="0.25">
      <c r="R2033"/>
      <c r="W2033" s="2"/>
    </row>
    <row r="2034" spans="18:23" x14ac:dyDescent="0.25">
      <c r="R2034"/>
      <c r="W2034" s="2"/>
    </row>
    <row r="2035" spans="18:23" x14ac:dyDescent="0.25">
      <c r="R2035"/>
      <c r="W2035" s="2"/>
    </row>
    <row r="2036" spans="18:23" x14ac:dyDescent="0.25">
      <c r="R2036"/>
      <c r="W2036" s="2"/>
    </row>
    <row r="2037" spans="18:23" x14ac:dyDescent="0.25">
      <c r="R2037"/>
      <c r="W2037" s="2"/>
    </row>
    <row r="2038" spans="18:23" x14ac:dyDescent="0.25">
      <c r="R2038"/>
      <c r="W2038" s="2"/>
    </row>
    <row r="2039" spans="18:23" x14ac:dyDescent="0.25">
      <c r="R2039"/>
      <c r="W2039" s="2"/>
    </row>
    <row r="2040" spans="18:23" x14ac:dyDescent="0.25">
      <c r="R2040"/>
      <c r="W2040" s="2"/>
    </row>
    <row r="2041" spans="18:23" x14ac:dyDescent="0.25">
      <c r="R2041"/>
      <c r="W2041" s="2"/>
    </row>
    <row r="2042" spans="18:23" x14ac:dyDescent="0.25">
      <c r="R2042"/>
      <c r="W2042" s="2"/>
    </row>
    <row r="2043" spans="18:23" x14ac:dyDescent="0.25">
      <c r="R2043"/>
      <c r="W2043" s="2"/>
    </row>
    <row r="2044" spans="18:23" x14ac:dyDescent="0.25">
      <c r="R2044"/>
      <c r="W2044" s="2"/>
    </row>
    <row r="2045" spans="18:23" x14ac:dyDescent="0.25">
      <c r="R2045"/>
      <c r="W2045" s="2"/>
    </row>
    <row r="2046" spans="18:23" x14ac:dyDescent="0.25">
      <c r="R2046"/>
      <c r="W2046" s="2"/>
    </row>
    <row r="2047" spans="18:23" x14ac:dyDescent="0.25">
      <c r="R2047"/>
      <c r="W2047" s="2"/>
    </row>
    <row r="2048" spans="18:23" x14ac:dyDescent="0.25">
      <c r="R2048"/>
      <c r="W2048" s="2"/>
    </row>
    <row r="2049" spans="18:23" x14ac:dyDescent="0.25">
      <c r="R2049"/>
      <c r="W2049" s="2"/>
    </row>
    <row r="2050" spans="18:23" x14ac:dyDescent="0.25">
      <c r="R2050"/>
      <c r="W2050" s="2"/>
    </row>
    <row r="2051" spans="18:23" x14ac:dyDescent="0.25">
      <c r="R2051"/>
      <c r="W2051" s="2"/>
    </row>
    <row r="2052" spans="18:23" x14ac:dyDescent="0.25">
      <c r="R2052"/>
      <c r="W2052" s="2"/>
    </row>
    <row r="2053" spans="18:23" x14ac:dyDescent="0.25">
      <c r="R2053"/>
      <c r="W2053" s="2"/>
    </row>
    <row r="2054" spans="18:23" x14ac:dyDescent="0.25">
      <c r="R2054"/>
      <c r="W2054" s="2"/>
    </row>
    <row r="2055" spans="18:23" x14ac:dyDescent="0.25">
      <c r="R2055"/>
      <c r="W2055" s="2"/>
    </row>
    <row r="2056" spans="18:23" x14ac:dyDescent="0.25">
      <c r="R2056"/>
      <c r="W2056" s="2"/>
    </row>
    <row r="2057" spans="18:23" x14ac:dyDescent="0.25">
      <c r="R2057"/>
      <c r="W2057" s="2"/>
    </row>
    <row r="2058" spans="18:23" x14ac:dyDescent="0.25">
      <c r="R2058"/>
      <c r="W2058" s="2"/>
    </row>
    <row r="2059" spans="18:23" x14ac:dyDescent="0.25">
      <c r="R2059"/>
      <c r="W2059" s="2"/>
    </row>
    <row r="2060" spans="18:23" x14ac:dyDescent="0.25">
      <c r="R2060"/>
      <c r="W2060" s="2"/>
    </row>
    <row r="2061" spans="18:23" x14ac:dyDescent="0.25">
      <c r="R2061"/>
      <c r="W2061" s="2"/>
    </row>
    <row r="2062" spans="18:23" x14ac:dyDescent="0.25">
      <c r="R2062"/>
      <c r="W2062" s="2"/>
    </row>
    <row r="2063" spans="18:23" x14ac:dyDescent="0.25">
      <c r="R2063"/>
      <c r="W2063" s="2"/>
    </row>
    <row r="2064" spans="18:23" x14ac:dyDescent="0.25">
      <c r="R2064"/>
      <c r="W2064" s="2"/>
    </row>
    <row r="2065" spans="18:23" x14ac:dyDescent="0.25">
      <c r="R2065"/>
      <c r="W2065" s="2"/>
    </row>
    <row r="2066" spans="18:23" x14ac:dyDescent="0.25">
      <c r="R2066"/>
      <c r="W2066" s="2"/>
    </row>
    <row r="2067" spans="18:23" x14ac:dyDescent="0.25">
      <c r="R2067"/>
      <c r="W2067" s="2"/>
    </row>
    <row r="2068" spans="18:23" x14ac:dyDescent="0.25">
      <c r="R2068"/>
      <c r="W2068" s="2"/>
    </row>
    <row r="2069" spans="18:23" x14ac:dyDescent="0.25">
      <c r="R2069"/>
      <c r="W2069" s="2"/>
    </row>
    <row r="2070" spans="18:23" x14ac:dyDescent="0.25">
      <c r="R2070"/>
      <c r="W2070" s="2"/>
    </row>
    <row r="2071" spans="18:23" x14ac:dyDescent="0.25">
      <c r="R2071"/>
      <c r="W2071" s="2"/>
    </row>
    <row r="2072" spans="18:23" x14ac:dyDescent="0.25">
      <c r="R2072"/>
      <c r="W2072" s="2"/>
    </row>
    <row r="2073" spans="18:23" x14ac:dyDescent="0.25">
      <c r="R2073"/>
      <c r="W2073" s="2"/>
    </row>
    <row r="2074" spans="18:23" x14ac:dyDescent="0.25">
      <c r="R2074"/>
      <c r="W2074" s="2"/>
    </row>
    <row r="2075" spans="18:23" x14ac:dyDescent="0.25">
      <c r="R2075"/>
      <c r="W2075" s="2"/>
    </row>
    <row r="2076" spans="18:23" x14ac:dyDescent="0.25">
      <c r="R2076"/>
      <c r="W2076" s="2"/>
    </row>
    <row r="2077" spans="18:23" x14ac:dyDescent="0.25">
      <c r="R2077"/>
      <c r="W2077" s="2"/>
    </row>
    <row r="2078" spans="18:23" x14ac:dyDescent="0.25">
      <c r="R2078"/>
      <c r="W2078" s="2"/>
    </row>
    <row r="2079" spans="18:23" x14ac:dyDescent="0.25">
      <c r="R2079"/>
      <c r="W2079" s="2"/>
    </row>
    <row r="2080" spans="18:23" x14ac:dyDescent="0.25">
      <c r="R2080"/>
      <c r="W2080" s="2"/>
    </row>
    <row r="2081" spans="18:23" x14ac:dyDescent="0.25">
      <c r="R2081"/>
      <c r="W2081" s="2"/>
    </row>
    <row r="2082" spans="18:23" x14ac:dyDescent="0.25">
      <c r="R2082"/>
      <c r="W2082" s="2"/>
    </row>
    <row r="2083" spans="18:23" x14ac:dyDescent="0.25">
      <c r="R2083"/>
      <c r="W2083" s="2"/>
    </row>
    <row r="2084" spans="18:23" x14ac:dyDescent="0.25">
      <c r="R2084"/>
      <c r="W2084" s="2"/>
    </row>
    <row r="2085" spans="18:23" x14ac:dyDescent="0.25">
      <c r="R2085"/>
      <c r="W2085" s="2"/>
    </row>
    <row r="2086" spans="18:23" x14ac:dyDescent="0.25">
      <c r="R2086"/>
      <c r="W2086" s="2"/>
    </row>
    <row r="2087" spans="18:23" x14ac:dyDescent="0.25">
      <c r="R2087"/>
      <c r="W2087" s="2"/>
    </row>
    <row r="2088" spans="18:23" x14ac:dyDescent="0.25">
      <c r="R2088"/>
      <c r="W2088" s="2"/>
    </row>
    <row r="2089" spans="18:23" x14ac:dyDescent="0.25">
      <c r="R2089"/>
      <c r="W2089" s="2"/>
    </row>
    <row r="2090" spans="18:23" x14ac:dyDescent="0.25">
      <c r="R2090"/>
      <c r="W2090" s="2"/>
    </row>
    <row r="2091" spans="18:23" x14ac:dyDescent="0.25">
      <c r="R2091"/>
      <c r="W2091" s="2"/>
    </row>
    <row r="2092" spans="18:23" x14ac:dyDescent="0.25">
      <c r="R2092"/>
      <c r="W2092" s="2"/>
    </row>
    <row r="2093" spans="18:23" x14ac:dyDescent="0.25">
      <c r="R2093"/>
      <c r="W2093" s="2"/>
    </row>
    <row r="2094" spans="18:23" x14ac:dyDescent="0.25">
      <c r="R2094"/>
      <c r="W2094" s="2"/>
    </row>
    <row r="2095" spans="18:23" x14ac:dyDescent="0.25">
      <c r="R2095"/>
      <c r="W2095" s="2"/>
    </row>
    <row r="2096" spans="18:23" x14ac:dyDescent="0.25">
      <c r="R2096"/>
      <c r="W2096" s="2"/>
    </row>
    <row r="2097" spans="18:23" x14ac:dyDescent="0.25">
      <c r="R2097"/>
      <c r="W2097" s="2"/>
    </row>
    <row r="2098" spans="18:23" x14ac:dyDescent="0.25">
      <c r="R2098"/>
      <c r="W2098" s="2"/>
    </row>
    <row r="2099" spans="18:23" x14ac:dyDescent="0.25">
      <c r="R2099"/>
      <c r="W2099" s="2"/>
    </row>
    <row r="2100" spans="18:23" x14ac:dyDescent="0.25">
      <c r="R2100"/>
      <c r="W2100" s="2"/>
    </row>
    <row r="2101" spans="18:23" x14ac:dyDescent="0.25">
      <c r="R2101"/>
      <c r="W2101" s="2"/>
    </row>
    <row r="2102" spans="18:23" x14ac:dyDescent="0.25">
      <c r="R2102"/>
      <c r="W2102" s="2"/>
    </row>
    <row r="2103" spans="18:23" x14ac:dyDescent="0.25">
      <c r="R2103"/>
      <c r="W2103" s="2"/>
    </row>
    <row r="2104" spans="18:23" x14ac:dyDescent="0.25">
      <c r="R2104"/>
      <c r="W2104" s="2"/>
    </row>
    <row r="2105" spans="18:23" x14ac:dyDescent="0.25">
      <c r="R2105"/>
      <c r="W2105" s="2"/>
    </row>
    <row r="2106" spans="18:23" x14ac:dyDescent="0.25">
      <c r="R2106"/>
      <c r="W2106" s="2"/>
    </row>
    <row r="2107" spans="18:23" x14ac:dyDescent="0.25">
      <c r="R2107"/>
      <c r="W2107" s="2"/>
    </row>
    <row r="2108" spans="18:23" x14ac:dyDescent="0.25">
      <c r="R2108"/>
      <c r="W2108" s="2"/>
    </row>
    <row r="2109" spans="18:23" x14ac:dyDescent="0.25">
      <c r="R2109"/>
      <c r="W2109" s="2"/>
    </row>
    <row r="2110" spans="18:23" x14ac:dyDescent="0.25">
      <c r="R2110"/>
      <c r="W2110" s="2"/>
    </row>
    <row r="2111" spans="18:23" x14ac:dyDescent="0.25">
      <c r="R2111"/>
      <c r="W2111" s="2"/>
    </row>
    <row r="2112" spans="18:23" x14ac:dyDescent="0.25">
      <c r="R2112"/>
      <c r="W2112" s="2"/>
    </row>
    <row r="2113" spans="18:23" x14ac:dyDescent="0.25">
      <c r="R2113"/>
      <c r="W2113" s="2"/>
    </row>
    <row r="2114" spans="18:23" x14ac:dyDescent="0.25">
      <c r="R2114"/>
      <c r="W2114" s="2"/>
    </row>
    <row r="2115" spans="18:23" x14ac:dyDescent="0.25">
      <c r="R2115"/>
      <c r="W2115" s="2"/>
    </row>
    <row r="2116" spans="18:23" x14ac:dyDescent="0.25">
      <c r="R2116"/>
      <c r="W2116" s="2"/>
    </row>
    <row r="2117" spans="18:23" x14ac:dyDescent="0.25">
      <c r="R2117"/>
      <c r="W2117" s="2"/>
    </row>
    <row r="2118" spans="18:23" x14ac:dyDescent="0.25">
      <c r="R2118"/>
      <c r="W2118" s="2"/>
    </row>
    <row r="2119" spans="18:23" x14ac:dyDescent="0.25">
      <c r="R2119"/>
      <c r="W2119" s="2"/>
    </row>
    <row r="2120" spans="18:23" x14ac:dyDescent="0.25">
      <c r="R2120"/>
      <c r="W2120" s="2"/>
    </row>
    <row r="2121" spans="18:23" x14ac:dyDescent="0.25">
      <c r="R2121"/>
      <c r="W2121" s="2"/>
    </row>
    <row r="2122" spans="18:23" x14ac:dyDescent="0.25">
      <c r="R2122"/>
      <c r="W2122" s="2"/>
    </row>
    <row r="2123" spans="18:23" x14ac:dyDescent="0.25">
      <c r="R2123"/>
      <c r="W2123" s="2"/>
    </row>
    <row r="2124" spans="18:23" x14ac:dyDescent="0.25">
      <c r="R2124"/>
      <c r="W2124" s="2"/>
    </row>
    <row r="2125" spans="18:23" x14ac:dyDescent="0.25">
      <c r="R2125"/>
      <c r="W2125" s="2"/>
    </row>
    <row r="2126" spans="18:23" x14ac:dyDescent="0.25">
      <c r="R2126"/>
      <c r="W2126" s="2"/>
    </row>
    <row r="2127" spans="18:23" x14ac:dyDescent="0.25">
      <c r="R2127"/>
      <c r="W2127" s="2"/>
    </row>
    <row r="2128" spans="18:23" x14ac:dyDescent="0.25">
      <c r="R2128"/>
      <c r="W2128" s="2"/>
    </row>
    <row r="2129" spans="18:23" x14ac:dyDescent="0.25">
      <c r="R2129"/>
      <c r="W2129" s="2"/>
    </row>
    <row r="2130" spans="18:23" x14ac:dyDescent="0.25">
      <c r="R2130"/>
      <c r="W2130" s="2"/>
    </row>
    <row r="2131" spans="18:23" x14ac:dyDescent="0.25">
      <c r="R2131"/>
      <c r="W2131" s="2"/>
    </row>
    <row r="2132" spans="18:23" x14ac:dyDescent="0.25">
      <c r="R2132"/>
      <c r="W2132" s="2"/>
    </row>
    <row r="2133" spans="18:23" x14ac:dyDescent="0.25">
      <c r="R2133"/>
      <c r="W2133" s="2"/>
    </row>
    <row r="2134" spans="18:23" x14ac:dyDescent="0.25">
      <c r="R2134"/>
      <c r="W2134" s="2"/>
    </row>
    <row r="2135" spans="18:23" x14ac:dyDescent="0.25">
      <c r="R2135"/>
      <c r="W2135" s="2"/>
    </row>
    <row r="2136" spans="18:23" x14ac:dyDescent="0.25">
      <c r="R2136"/>
      <c r="W2136" s="2"/>
    </row>
    <row r="2137" spans="18:23" x14ac:dyDescent="0.25">
      <c r="R2137"/>
      <c r="W2137" s="2"/>
    </row>
    <row r="2138" spans="18:23" x14ac:dyDescent="0.25">
      <c r="R2138"/>
      <c r="W2138" s="2"/>
    </row>
    <row r="2139" spans="18:23" x14ac:dyDescent="0.25">
      <c r="R2139"/>
      <c r="W2139" s="2"/>
    </row>
    <row r="2140" spans="18:23" x14ac:dyDescent="0.25">
      <c r="R2140"/>
      <c r="W2140" s="2"/>
    </row>
    <row r="2141" spans="18:23" x14ac:dyDescent="0.25">
      <c r="R2141"/>
      <c r="W2141" s="2"/>
    </row>
    <row r="2142" spans="18:23" x14ac:dyDescent="0.25">
      <c r="R2142"/>
      <c r="W2142" s="2"/>
    </row>
    <row r="2143" spans="18:23" x14ac:dyDescent="0.25">
      <c r="R2143"/>
      <c r="W2143" s="2"/>
    </row>
    <row r="2144" spans="18:23" x14ac:dyDescent="0.25">
      <c r="R2144"/>
      <c r="W2144" s="2"/>
    </row>
    <row r="2145" spans="18:23" x14ac:dyDescent="0.25">
      <c r="R2145"/>
      <c r="W2145" s="2"/>
    </row>
    <row r="2146" spans="18:23" x14ac:dyDescent="0.25">
      <c r="R2146"/>
      <c r="W2146" s="2"/>
    </row>
    <row r="2147" spans="18:23" x14ac:dyDescent="0.25">
      <c r="R2147"/>
      <c r="W2147" s="2"/>
    </row>
    <row r="2148" spans="18:23" x14ac:dyDescent="0.25">
      <c r="R2148"/>
      <c r="W2148" s="2"/>
    </row>
    <row r="2149" spans="18:23" x14ac:dyDescent="0.25">
      <c r="R2149"/>
      <c r="W2149" s="2"/>
    </row>
    <row r="2150" spans="18:23" x14ac:dyDescent="0.25">
      <c r="R2150"/>
      <c r="W2150" s="2"/>
    </row>
    <row r="2151" spans="18:23" x14ac:dyDescent="0.25">
      <c r="R2151"/>
      <c r="W2151" s="2"/>
    </row>
    <row r="2152" spans="18:23" x14ac:dyDescent="0.25">
      <c r="R2152"/>
      <c r="W2152" s="2"/>
    </row>
    <row r="2153" spans="18:23" x14ac:dyDescent="0.25">
      <c r="R2153"/>
      <c r="W2153" s="2"/>
    </row>
    <row r="2154" spans="18:23" x14ac:dyDescent="0.25">
      <c r="R2154"/>
      <c r="W2154" s="2"/>
    </row>
    <row r="2155" spans="18:23" x14ac:dyDescent="0.25">
      <c r="R2155"/>
      <c r="W2155" s="2"/>
    </row>
    <row r="2156" spans="18:23" x14ac:dyDescent="0.25">
      <c r="R2156"/>
      <c r="W2156" s="2"/>
    </row>
    <row r="2157" spans="18:23" x14ac:dyDescent="0.25">
      <c r="R2157"/>
      <c r="W2157" s="2"/>
    </row>
    <row r="2158" spans="18:23" x14ac:dyDescent="0.25">
      <c r="R2158"/>
      <c r="W2158" s="2"/>
    </row>
    <row r="2159" spans="18:23" x14ac:dyDescent="0.25">
      <c r="R2159"/>
      <c r="W2159" s="2"/>
    </row>
    <row r="2160" spans="18:23" x14ac:dyDescent="0.25">
      <c r="R2160"/>
      <c r="W2160" s="2"/>
    </row>
    <row r="2161" spans="18:23" x14ac:dyDescent="0.25">
      <c r="R2161"/>
      <c r="W2161" s="2"/>
    </row>
    <row r="2162" spans="18:23" x14ac:dyDescent="0.25">
      <c r="R2162"/>
      <c r="W2162" s="2"/>
    </row>
    <row r="2163" spans="18:23" x14ac:dyDescent="0.25">
      <c r="R2163"/>
      <c r="W2163" s="2"/>
    </row>
    <row r="2164" spans="18:23" x14ac:dyDescent="0.25">
      <c r="R2164"/>
      <c r="W2164" s="2"/>
    </row>
    <row r="2165" spans="18:23" x14ac:dyDescent="0.25">
      <c r="R2165"/>
      <c r="W2165" s="2"/>
    </row>
    <row r="2166" spans="18:23" x14ac:dyDescent="0.25">
      <c r="R2166"/>
      <c r="W2166" s="2"/>
    </row>
    <row r="2167" spans="18:23" x14ac:dyDescent="0.25">
      <c r="R2167"/>
      <c r="W2167" s="2"/>
    </row>
    <row r="2168" spans="18:23" x14ac:dyDescent="0.25">
      <c r="R2168"/>
      <c r="W2168" s="2"/>
    </row>
    <row r="2169" spans="18:23" x14ac:dyDescent="0.25">
      <c r="R2169"/>
      <c r="W2169" s="2"/>
    </row>
    <row r="2170" spans="18:23" x14ac:dyDescent="0.25">
      <c r="R2170"/>
      <c r="W2170" s="2"/>
    </row>
    <row r="2171" spans="18:23" x14ac:dyDescent="0.25">
      <c r="R2171"/>
      <c r="W2171" s="2"/>
    </row>
    <row r="2172" spans="18:23" x14ac:dyDescent="0.25">
      <c r="R2172"/>
      <c r="W2172" s="2"/>
    </row>
    <row r="2173" spans="18:23" x14ac:dyDescent="0.25">
      <c r="R2173"/>
      <c r="W2173" s="2"/>
    </row>
    <row r="2174" spans="18:23" x14ac:dyDescent="0.25">
      <c r="R2174"/>
      <c r="W2174" s="2"/>
    </row>
    <row r="2175" spans="18:23" x14ac:dyDescent="0.25">
      <c r="R2175"/>
      <c r="W2175" s="2"/>
    </row>
    <row r="2176" spans="18:23" x14ac:dyDescent="0.25">
      <c r="R2176"/>
      <c r="W2176" s="2"/>
    </row>
    <row r="2177" spans="18:23" x14ac:dyDescent="0.25">
      <c r="R2177"/>
      <c r="W2177" s="2"/>
    </row>
    <row r="2178" spans="18:23" x14ac:dyDescent="0.25">
      <c r="R2178"/>
      <c r="W2178" s="2"/>
    </row>
    <row r="2179" spans="18:23" x14ac:dyDescent="0.25">
      <c r="R2179"/>
      <c r="W2179" s="2"/>
    </row>
    <row r="2180" spans="18:23" x14ac:dyDescent="0.25">
      <c r="R2180"/>
      <c r="W2180" s="2"/>
    </row>
    <row r="2181" spans="18:23" x14ac:dyDescent="0.25">
      <c r="R2181"/>
      <c r="W2181" s="2"/>
    </row>
    <row r="2182" spans="18:23" x14ac:dyDescent="0.25">
      <c r="R2182"/>
      <c r="W2182" s="2"/>
    </row>
    <row r="2183" spans="18:23" x14ac:dyDescent="0.25">
      <c r="R2183"/>
      <c r="W2183" s="2"/>
    </row>
    <row r="2184" spans="18:23" x14ac:dyDescent="0.25">
      <c r="R2184"/>
      <c r="W2184" s="2"/>
    </row>
    <row r="2185" spans="18:23" x14ac:dyDescent="0.25">
      <c r="R2185"/>
      <c r="W2185" s="2"/>
    </row>
    <row r="2186" spans="18:23" x14ac:dyDescent="0.25">
      <c r="R2186"/>
      <c r="W2186" s="2"/>
    </row>
    <row r="2187" spans="18:23" x14ac:dyDescent="0.25">
      <c r="R2187"/>
      <c r="W2187" s="2"/>
    </row>
    <row r="2188" spans="18:23" x14ac:dyDescent="0.25">
      <c r="R2188"/>
      <c r="W2188" s="2"/>
    </row>
    <row r="2189" spans="18:23" x14ac:dyDescent="0.25">
      <c r="R2189"/>
      <c r="W2189" s="2"/>
    </row>
    <row r="2190" spans="18:23" x14ac:dyDescent="0.25">
      <c r="R2190"/>
      <c r="W2190" s="2"/>
    </row>
    <row r="2191" spans="18:23" x14ac:dyDescent="0.25">
      <c r="R2191"/>
      <c r="W2191" s="2"/>
    </row>
    <row r="2192" spans="18:23" x14ac:dyDescent="0.25">
      <c r="R2192"/>
      <c r="W2192" s="2"/>
    </row>
    <row r="2193" spans="18:23" x14ac:dyDescent="0.25">
      <c r="R2193"/>
      <c r="W2193" s="2"/>
    </row>
    <row r="2194" spans="18:23" x14ac:dyDescent="0.25">
      <c r="R2194"/>
      <c r="W2194" s="2"/>
    </row>
    <row r="2195" spans="18:23" x14ac:dyDescent="0.25">
      <c r="R2195"/>
      <c r="W2195" s="2"/>
    </row>
    <row r="2196" spans="18:23" x14ac:dyDescent="0.25">
      <c r="R2196"/>
      <c r="W2196" s="2"/>
    </row>
    <row r="2197" spans="18:23" x14ac:dyDescent="0.25">
      <c r="R2197"/>
      <c r="W2197" s="2"/>
    </row>
    <row r="2198" spans="18:23" x14ac:dyDescent="0.25">
      <c r="R2198"/>
      <c r="W2198" s="2"/>
    </row>
    <row r="2199" spans="18:23" x14ac:dyDescent="0.25">
      <c r="R2199"/>
      <c r="W2199" s="2"/>
    </row>
    <row r="2200" spans="18:23" x14ac:dyDescent="0.25">
      <c r="R2200"/>
      <c r="W2200" s="2"/>
    </row>
    <row r="2201" spans="18:23" x14ac:dyDescent="0.25">
      <c r="R2201"/>
      <c r="W2201" s="2"/>
    </row>
    <row r="2202" spans="18:23" x14ac:dyDescent="0.25">
      <c r="R2202"/>
      <c r="W2202" s="2"/>
    </row>
    <row r="2203" spans="18:23" x14ac:dyDescent="0.25">
      <c r="R2203"/>
      <c r="W2203" s="2"/>
    </row>
    <row r="2204" spans="18:23" x14ac:dyDescent="0.25">
      <c r="R2204"/>
      <c r="W2204" s="2"/>
    </row>
    <row r="2205" spans="18:23" x14ac:dyDescent="0.25">
      <c r="R2205"/>
      <c r="W2205" s="2"/>
    </row>
    <row r="2206" spans="18:23" x14ac:dyDescent="0.25">
      <c r="R2206"/>
      <c r="W2206" s="2"/>
    </row>
    <row r="2207" spans="18:23" x14ac:dyDescent="0.25">
      <c r="R2207"/>
      <c r="W2207" s="2"/>
    </row>
    <row r="2208" spans="18:23" x14ac:dyDescent="0.25">
      <c r="R2208"/>
      <c r="W2208" s="2"/>
    </row>
    <row r="2209" spans="18:23" x14ac:dyDescent="0.25">
      <c r="R2209"/>
      <c r="W2209" s="2"/>
    </row>
    <row r="2210" spans="18:23" x14ac:dyDescent="0.25">
      <c r="R2210"/>
      <c r="W2210" s="2"/>
    </row>
    <row r="2211" spans="18:23" x14ac:dyDescent="0.25">
      <c r="R2211"/>
      <c r="W2211" s="2"/>
    </row>
    <row r="2212" spans="18:23" x14ac:dyDescent="0.25">
      <c r="R2212"/>
      <c r="W2212" s="2"/>
    </row>
    <row r="2213" spans="18:23" x14ac:dyDescent="0.25">
      <c r="R2213"/>
      <c r="W2213" s="2"/>
    </row>
    <row r="2214" spans="18:23" x14ac:dyDescent="0.25">
      <c r="R2214"/>
      <c r="W2214" s="2"/>
    </row>
    <row r="2215" spans="18:23" x14ac:dyDescent="0.25">
      <c r="R2215"/>
      <c r="W2215" s="2"/>
    </row>
    <row r="2216" spans="18:23" x14ac:dyDescent="0.25">
      <c r="R2216"/>
      <c r="W2216" s="2"/>
    </row>
    <row r="2217" spans="18:23" x14ac:dyDescent="0.25">
      <c r="R2217"/>
      <c r="W2217" s="2"/>
    </row>
    <row r="2218" spans="18:23" x14ac:dyDescent="0.25">
      <c r="R2218"/>
      <c r="W2218" s="2"/>
    </row>
    <row r="2219" spans="18:23" x14ac:dyDescent="0.25">
      <c r="R2219"/>
      <c r="W2219" s="2"/>
    </row>
    <row r="2220" spans="18:23" x14ac:dyDescent="0.25">
      <c r="R2220"/>
      <c r="W2220" s="2"/>
    </row>
    <row r="2221" spans="18:23" x14ac:dyDescent="0.25">
      <c r="R2221"/>
      <c r="W2221" s="2"/>
    </row>
    <row r="2222" spans="18:23" x14ac:dyDescent="0.25">
      <c r="R2222"/>
      <c r="W2222" s="2"/>
    </row>
    <row r="2223" spans="18:23" x14ac:dyDescent="0.25">
      <c r="R2223"/>
      <c r="W2223" s="2"/>
    </row>
    <row r="2224" spans="18:23" x14ac:dyDescent="0.25">
      <c r="R2224"/>
      <c r="W2224" s="2"/>
    </row>
    <row r="2225" spans="18:23" x14ac:dyDescent="0.25">
      <c r="R2225"/>
      <c r="W2225" s="2"/>
    </row>
    <row r="2226" spans="18:23" x14ac:dyDescent="0.25">
      <c r="R2226"/>
      <c r="W2226" s="2"/>
    </row>
    <row r="2227" spans="18:23" x14ac:dyDescent="0.25">
      <c r="R2227"/>
      <c r="W2227" s="2"/>
    </row>
    <row r="2228" spans="18:23" x14ac:dyDescent="0.25">
      <c r="R2228"/>
      <c r="W2228" s="2"/>
    </row>
    <row r="2229" spans="18:23" x14ac:dyDescent="0.25">
      <c r="R2229"/>
      <c r="W2229" s="2"/>
    </row>
    <row r="2230" spans="18:23" x14ac:dyDescent="0.25">
      <c r="R2230"/>
      <c r="W2230" s="2"/>
    </row>
    <row r="2231" spans="18:23" x14ac:dyDescent="0.25">
      <c r="R2231"/>
      <c r="W2231" s="2"/>
    </row>
    <row r="2232" spans="18:23" x14ac:dyDescent="0.25">
      <c r="R2232"/>
      <c r="W2232" s="2"/>
    </row>
    <row r="2233" spans="18:23" x14ac:dyDescent="0.25">
      <c r="R2233"/>
      <c r="W2233" s="2"/>
    </row>
    <row r="2234" spans="18:23" x14ac:dyDescent="0.25">
      <c r="R2234"/>
      <c r="W2234" s="2"/>
    </row>
    <row r="2235" spans="18:23" x14ac:dyDescent="0.25">
      <c r="R2235"/>
      <c r="W2235" s="2"/>
    </row>
    <row r="2236" spans="18:23" x14ac:dyDescent="0.25">
      <c r="R2236"/>
      <c r="W2236" s="2"/>
    </row>
    <row r="2237" spans="18:23" x14ac:dyDescent="0.25">
      <c r="R2237"/>
      <c r="W2237" s="2"/>
    </row>
    <row r="2238" spans="18:23" x14ac:dyDescent="0.25">
      <c r="R2238"/>
      <c r="W2238" s="2"/>
    </row>
    <row r="2239" spans="18:23" x14ac:dyDescent="0.25">
      <c r="R2239"/>
      <c r="W2239" s="2"/>
    </row>
    <row r="2240" spans="18:23" x14ac:dyDescent="0.25">
      <c r="R2240"/>
      <c r="W2240" s="2"/>
    </row>
    <row r="2241" spans="18:23" x14ac:dyDescent="0.25">
      <c r="R2241"/>
      <c r="W2241" s="2"/>
    </row>
    <row r="2242" spans="18:23" x14ac:dyDescent="0.25">
      <c r="R2242"/>
      <c r="W2242" s="2"/>
    </row>
    <row r="2243" spans="18:23" x14ac:dyDescent="0.25">
      <c r="R2243"/>
      <c r="W2243" s="2"/>
    </row>
    <row r="2244" spans="18:23" x14ac:dyDescent="0.25">
      <c r="R2244"/>
      <c r="W2244" s="2"/>
    </row>
    <row r="2245" spans="18:23" x14ac:dyDescent="0.25">
      <c r="R2245"/>
      <c r="W2245" s="2"/>
    </row>
    <row r="2246" spans="18:23" x14ac:dyDescent="0.25">
      <c r="R2246"/>
      <c r="W2246" s="2"/>
    </row>
    <row r="2247" spans="18:23" x14ac:dyDescent="0.25">
      <c r="R2247"/>
      <c r="W2247" s="2"/>
    </row>
    <row r="2248" spans="18:23" x14ac:dyDescent="0.25">
      <c r="R2248"/>
      <c r="W2248" s="2"/>
    </row>
    <row r="2249" spans="18:23" x14ac:dyDescent="0.25">
      <c r="R2249"/>
      <c r="W2249" s="2"/>
    </row>
    <row r="2250" spans="18:23" x14ac:dyDescent="0.25">
      <c r="R2250"/>
      <c r="W2250" s="2"/>
    </row>
    <row r="2251" spans="18:23" x14ac:dyDescent="0.25">
      <c r="R2251"/>
      <c r="W2251" s="2"/>
    </row>
    <row r="2252" spans="18:23" x14ac:dyDescent="0.25">
      <c r="R2252"/>
      <c r="W2252" s="2"/>
    </row>
    <row r="2253" spans="18:23" x14ac:dyDescent="0.25">
      <c r="R2253"/>
      <c r="W2253" s="2"/>
    </row>
    <row r="2254" spans="18:23" x14ac:dyDescent="0.25">
      <c r="R2254"/>
      <c r="W2254" s="2"/>
    </row>
    <row r="2255" spans="18:23" x14ac:dyDescent="0.25">
      <c r="R2255"/>
      <c r="W2255" s="2"/>
    </row>
    <row r="2256" spans="18:23" x14ac:dyDescent="0.25">
      <c r="R2256"/>
      <c r="W2256" s="2"/>
    </row>
    <row r="2257" spans="18:23" x14ac:dyDescent="0.25">
      <c r="R2257"/>
      <c r="W2257" s="2"/>
    </row>
    <row r="2258" spans="18:23" x14ac:dyDescent="0.25">
      <c r="R2258"/>
      <c r="W2258" s="2"/>
    </row>
    <row r="2259" spans="18:23" x14ac:dyDescent="0.25">
      <c r="R2259"/>
      <c r="W2259" s="2"/>
    </row>
    <row r="2260" spans="18:23" x14ac:dyDescent="0.25">
      <c r="R2260"/>
      <c r="W2260" s="2"/>
    </row>
    <row r="2261" spans="18:23" x14ac:dyDescent="0.25">
      <c r="R2261"/>
      <c r="W2261" s="2"/>
    </row>
    <row r="2262" spans="18:23" x14ac:dyDescent="0.25">
      <c r="R2262"/>
      <c r="W2262" s="2"/>
    </row>
    <row r="2263" spans="18:23" x14ac:dyDescent="0.25">
      <c r="R2263"/>
      <c r="W2263" s="2"/>
    </row>
    <row r="2264" spans="18:23" x14ac:dyDescent="0.25">
      <c r="R2264"/>
      <c r="W2264" s="2"/>
    </row>
    <row r="2265" spans="18:23" x14ac:dyDescent="0.25">
      <c r="R2265"/>
      <c r="W2265" s="2"/>
    </row>
    <row r="2266" spans="18:23" x14ac:dyDescent="0.25">
      <c r="R2266"/>
      <c r="W2266" s="2"/>
    </row>
    <row r="2267" spans="18:23" x14ac:dyDescent="0.25">
      <c r="R2267"/>
      <c r="W2267" s="2"/>
    </row>
    <row r="2268" spans="18:23" x14ac:dyDescent="0.25">
      <c r="R2268"/>
      <c r="W2268" s="2"/>
    </row>
    <row r="2269" spans="18:23" x14ac:dyDescent="0.25">
      <c r="R2269"/>
      <c r="W2269" s="2"/>
    </row>
    <row r="2270" spans="18:23" x14ac:dyDescent="0.25">
      <c r="R2270"/>
      <c r="W2270" s="2"/>
    </row>
    <row r="2271" spans="18:23" x14ac:dyDescent="0.25">
      <c r="R2271"/>
      <c r="W2271" s="2"/>
    </row>
    <row r="2272" spans="18:23" x14ac:dyDescent="0.25">
      <c r="R2272"/>
      <c r="W2272" s="2"/>
    </row>
    <row r="2273" spans="18:23" x14ac:dyDescent="0.25">
      <c r="R2273"/>
      <c r="W2273" s="2"/>
    </row>
    <row r="2274" spans="18:23" x14ac:dyDescent="0.25">
      <c r="R2274"/>
      <c r="W2274" s="2"/>
    </row>
    <row r="2275" spans="18:23" x14ac:dyDescent="0.25">
      <c r="R2275"/>
      <c r="W2275" s="2"/>
    </row>
    <row r="2276" spans="18:23" x14ac:dyDescent="0.25">
      <c r="R2276"/>
      <c r="W2276" s="2"/>
    </row>
    <row r="2277" spans="18:23" x14ac:dyDescent="0.25">
      <c r="R2277"/>
      <c r="W2277" s="2"/>
    </row>
    <row r="2278" spans="18:23" x14ac:dyDescent="0.25">
      <c r="R2278"/>
      <c r="W2278" s="2"/>
    </row>
    <row r="2279" spans="18:23" x14ac:dyDescent="0.25">
      <c r="R2279"/>
      <c r="W2279" s="2"/>
    </row>
    <row r="2280" spans="18:23" x14ac:dyDescent="0.25">
      <c r="R2280"/>
      <c r="W2280" s="2"/>
    </row>
    <row r="2281" spans="18:23" x14ac:dyDescent="0.25">
      <c r="R2281"/>
      <c r="W2281" s="2"/>
    </row>
    <row r="2282" spans="18:23" x14ac:dyDescent="0.25">
      <c r="R2282"/>
      <c r="W2282" s="2"/>
    </row>
    <row r="2283" spans="18:23" x14ac:dyDescent="0.25">
      <c r="R2283"/>
      <c r="W2283" s="2"/>
    </row>
    <row r="2284" spans="18:23" x14ac:dyDescent="0.25">
      <c r="R2284"/>
      <c r="W2284" s="2"/>
    </row>
    <row r="2285" spans="18:23" x14ac:dyDescent="0.25">
      <c r="R2285"/>
      <c r="W2285" s="2"/>
    </row>
    <row r="2286" spans="18:23" x14ac:dyDescent="0.25">
      <c r="R2286"/>
      <c r="W2286" s="2"/>
    </row>
    <row r="2287" spans="18:23" x14ac:dyDescent="0.25">
      <c r="R2287"/>
      <c r="W2287" s="2"/>
    </row>
    <row r="2288" spans="18:23" x14ac:dyDescent="0.25">
      <c r="R2288"/>
      <c r="W2288" s="2"/>
    </row>
    <row r="2289" spans="18:23" x14ac:dyDescent="0.25">
      <c r="R2289"/>
      <c r="W2289" s="2"/>
    </row>
    <row r="2290" spans="18:23" x14ac:dyDescent="0.25">
      <c r="R2290"/>
      <c r="W2290" s="2"/>
    </row>
    <row r="2291" spans="18:23" x14ac:dyDescent="0.25">
      <c r="R2291"/>
      <c r="W2291" s="2"/>
    </row>
    <row r="2292" spans="18:23" x14ac:dyDescent="0.25">
      <c r="R2292"/>
      <c r="W2292" s="2"/>
    </row>
    <row r="2293" spans="18:23" x14ac:dyDescent="0.25">
      <c r="R2293"/>
      <c r="W2293" s="2"/>
    </row>
    <row r="2294" spans="18:23" x14ac:dyDescent="0.25">
      <c r="R2294"/>
      <c r="W2294" s="2"/>
    </row>
    <row r="2295" spans="18:23" x14ac:dyDescent="0.25">
      <c r="R2295"/>
      <c r="W2295" s="2"/>
    </row>
    <row r="2296" spans="18:23" x14ac:dyDescent="0.25">
      <c r="R2296"/>
      <c r="W2296" s="2"/>
    </row>
    <row r="2297" spans="18:23" x14ac:dyDescent="0.25">
      <c r="R2297"/>
      <c r="W2297" s="2"/>
    </row>
    <row r="2298" spans="18:23" x14ac:dyDescent="0.25">
      <c r="R2298"/>
      <c r="W2298" s="2"/>
    </row>
    <row r="2299" spans="18:23" x14ac:dyDescent="0.25">
      <c r="R2299"/>
      <c r="W2299" s="2"/>
    </row>
    <row r="2300" spans="18:23" x14ac:dyDescent="0.25">
      <c r="R2300"/>
      <c r="W2300" s="2"/>
    </row>
    <row r="2301" spans="18:23" x14ac:dyDescent="0.25">
      <c r="R2301"/>
      <c r="W2301" s="2"/>
    </row>
    <row r="2302" spans="18:23" x14ac:dyDescent="0.25">
      <c r="R2302"/>
      <c r="W2302" s="2"/>
    </row>
    <row r="2303" spans="18:23" x14ac:dyDescent="0.25">
      <c r="R2303"/>
      <c r="W2303" s="2"/>
    </row>
    <row r="2304" spans="18:23" x14ac:dyDescent="0.25">
      <c r="R2304"/>
      <c r="W2304" s="2"/>
    </row>
    <row r="2305" spans="18:23" x14ac:dyDescent="0.25">
      <c r="R2305"/>
      <c r="W2305" s="2"/>
    </row>
    <row r="2306" spans="18:23" x14ac:dyDescent="0.25">
      <c r="R2306"/>
      <c r="W2306" s="2"/>
    </row>
    <row r="2307" spans="18:23" x14ac:dyDescent="0.25">
      <c r="R2307"/>
      <c r="W2307" s="2"/>
    </row>
    <row r="2308" spans="18:23" x14ac:dyDescent="0.25">
      <c r="R2308"/>
      <c r="W2308" s="2"/>
    </row>
    <row r="2309" spans="18:23" x14ac:dyDescent="0.25">
      <c r="R2309"/>
      <c r="W2309" s="2"/>
    </row>
    <row r="2310" spans="18:23" x14ac:dyDescent="0.25">
      <c r="R2310"/>
      <c r="W2310" s="2"/>
    </row>
    <row r="2311" spans="18:23" x14ac:dyDescent="0.25">
      <c r="R2311"/>
      <c r="W2311" s="2"/>
    </row>
    <row r="2312" spans="18:23" x14ac:dyDescent="0.25">
      <c r="R2312"/>
      <c r="W2312" s="2"/>
    </row>
    <row r="2313" spans="18:23" x14ac:dyDescent="0.25">
      <c r="R2313"/>
      <c r="W2313" s="2"/>
    </row>
    <row r="2314" spans="18:23" x14ac:dyDescent="0.25">
      <c r="R2314"/>
      <c r="W2314" s="2"/>
    </row>
    <row r="2315" spans="18:23" x14ac:dyDescent="0.25">
      <c r="R2315"/>
      <c r="W2315" s="2"/>
    </row>
    <row r="2316" spans="18:23" x14ac:dyDescent="0.25">
      <c r="R2316"/>
      <c r="W2316" s="2"/>
    </row>
    <row r="2317" spans="18:23" x14ac:dyDescent="0.25">
      <c r="R2317"/>
      <c r="W2317" s="2"/>
    </row>
    <row r="2318" spans="18:23" x14ac:dyDescent="0.25">
      <c r="R2318"/>
      <c r="W2318" s="2"/>
    </row>
    <row r="2319" spans="18:23" x14ac:dyDescent="0.25">
      <c r="R2319"/>
      <c r="W2319" s="2"/>
    </row>
    <row r="2320" spans="18:23" x14ac:dyDescent="0.25">
      <c r="R2320"/>
      <c r="W2320" s="2"/>
    </row>
    <row r="2321" spans="18:23" x14ac:dyDescent="0.25">
      <c r="R2321"/>
      <c r="W2321" s="2"/>
    </row>
    <row r="2322" spans="18:23" x14ac:dyDescent="0.25">
      <c r="R2322"/>
      <c r="W2322" s="2"/>
    </row>
    <row r="2323" spans="18:23" x14ac:dyDescent="0.25">
      <c r="R2323"/>
      <c r="W2323" s="2"/>
    </row>
    <row r="2324" spans="18:23" x14ac:dyDescent="0.25">
      <c r="R2324"/>
      <c r="W2324" s="2"/>
    </row>
    <row r="2325" spans="18:23" x14ac:dyDescent="0.25">
      <c r="R2325"/>
      <c r="W2325" s="2"/>
    </row>
    <row r="2326" spans="18:23" x14ac:dyDescent="0.25">
      <c r="R2326"/>
      <c r="W2326" s="2"/>
    </row>
    <row r="2327" spans="18:23" x14ac:dyDescent="0.25">
      <c r="R2327"/>
      <c r="W2327" s="2"/>
    </row>
    <row r="2328" spans="18:23" x14ac:dyDescent="0.25">
      <c r="R2328"/>
      <c r="W2328" s="2"/>
    </row>
    <row r="2329" spans="18:23" x14ac:dyDescent="0.25">
      <c r="R2329"/>
      <c r="W2329" s="2"/>
    </row>
    <row r="2330" spans="18:23" x14ac:dyDescent="0.25">
      <c r="R2330"/>
      <c r="W2330" s="2"/>
    </row>
    <row r="2331" spans="18:23" x14ac:dyDescent="0.25">
      <c r="R2331"/>
      <c r="W2331" s="2"/>
    </row>
    <row r="2332" spans="18:23" x14ac:dyDescent="0.25">
      <c r="R2332"/>
      <c r="W2332" s="2"/>
    </row>
    <row r="2333" spans="18:23" x14ac:dyDescent="0.25">
      <c r="R2333"/>
      <c r="W2333" s="2"/>
    </row>
    <row r="2334" spans="18:23" x14ac:dyDescent="0.25">
      <c r="R2334"/>
      <c r="W2334" s="2"/>
    </row>
    <row r="2335" spans="18:23" x14ac:dyDescent="0.25">
      <c r="R2335"/>
      <c r="W2335" s="2"/>
    </row>
    <row r="2336" spans="18:23" x14ac:dyDescent="0.25">
      <c r="R2336"/>
      <c r="W2336" s="2"/>
    </row>
    <row r="2337" spans="18:23" x14ac:dyDescent="0.25">
      <c r="R2337"/>
      <c r="W2337" s="2"/>
    </row>
    <row r="2338" spans="18:23" x14ac:dyDescent="0.25">
      <c r="R2338"/>
      <c r="W2338" s="2"/>
    </row>
    <row r="2339" spans="18:23" x14ac:dyDescent="0.25">
      <c r="R2339"/>
      <c r="W2339" s="2"/>
    </row>
    <row r="2340" spans="18:23" x14ac:dyDescent="0.25">
      <c r="R2340"/>
      <c r="W2340" s="2"/>
    </row>
    <row r="2341" spans="18:23" x14ac:dyDescent="0.25">
      <c r="R2341"/>
      <c r="W2341" s="2"/>
    </row>
    <row r="2342" spans="18:23" x14ac:dyDescent="0.25">
      <c r="R2342"/>
      <c r="W2342" s="2"/>
    </row>
    <row r="2343" spans="18:23" x14ac:dyDescent="0.25">
      <c r="R2343"/>
      <c r="W2343" s="2"/>
    </row>
    <row r="2344" spans="18:23" x14ac:dyDescent="0.25">
      <c r="R2344"/>
      <c r="W2344" s="2"/>
    </row>
    <row r="2345" spans="18:23" x14ac:dyDescent="0.25">
      <c r="R2345"/>
      <c r="W2345" s="2"/>
    </row>
    <row r="2346" spans="18:23" x14ac:dyDescent="0.25">
      <c r="R2346"/>
      <c r="W2346" s="2"/>
    </row>
    <row r="2347" spans="18:23" x14ac:dyDescent="0.25">
      <c r="R2347"/>
      <c r="W2347" s="2"/>
    </row>
    <row r="2348" spans="18:23" x14ac:dyDescent="0.25">
      <c r="R2348"/>
      <c r="W2348" s="2"/>
    </row>
    <row r="2349" spans="18:23" x14ac:dyDescent="0.25">
      <c r="R2349"/>
      <c r="W2349" s="2"/>
    </row>
    <row r="2350" spans="18:23" x14ac:dyDescent="0.25">
      <c r="R2350"/>
      <c r="W2350" s="2"/>
    </row>
    <row r="2351" spans="18:23" x14ac:dyDescent="0.25">
      <c r="R2351"/>
      <c r="W2351" s="2"/>
    </row>
    <row r="2352" spans="18:23" x14ac:dyDescent="0.25">
      <c r="R2352"/>
      <c r="W2352" s="2"/>
    </row>
    <row r="2353" spans="18:23" x14ac:dyDescent="0.25">
      <c r="R2353"/>
      <c r="W2353" s="2"/>
    </row>
    <row r="2354" spans="18:23" x14ac:dyDescent="0.25">
      <c r="R2354"/>
      <c r="W2354" s="2"/>
    </row>
    <row r="2355" spans="18:23" x14ac:dyDescent="0.25">
      <c r="R2355"/>
      <c r="W2355" s="2"/>
    </row>
    <row r="2356" spans="18:23" x14ac:dyDescent="0.25">
      <c r="R2356"/>
      <c r="W2356" s="2"/>
    </row>
    <row r="2357" spans="18:23" x14ac:dyDescent="0.25">
      <c r="R2357"/>
      <c r="W2357" s="2"/>
    </row>
    <row r="2358" spans="18:23" x14ac:dyDescent="0.25">
      <c r="R2358"/>
      <c r="W2358" s="2"/>
    </row>
    <row r="2359" spans="18:23" x14ac:dyDescent="0.25">
      <c r="R2359"/>
      <c r="W2359" s="2"/>
    </row>
    <row r="2360" spans="18:23" x14ac:dyDescent="0.25">
      <c r="R2360"/>
      <c r="W2360" s="2"/>
    </row>
    <row r="2361" spans="18:23" x14ac:dyDescent="0.25">
      <c r="R2361"/>
      <c r="W2361" s="2"/>
    </row>
    <row r="2362" spans="18:23" x14ac:dyDescent="0.25">
      <c r="R2362"/>
      <c r="W2362" s="2"/>
    </row>
    <row r="2363" spans="18:23" x14ac:dyDescent="0.25">
      <c r="R2363"/>
      <c r="W2363" s="2"/>
    </row>
    <row r="2364" spans="18:23" x14ac:dyDescent="0.25">
      <c r="R2364"/>
      <c r="W2364" s="2"/>
    </row>
    <row r="2365" spans="18:23" x14ac:dyDescent="0.25">
      <c r="R2365"/>
      <c r="W2365" s="2"/>
    </row>
    <row r="2366" spans="18:23" x14ac:dyDescent="0.25">
      <c r="R2366"/>
      <c r="W2366" s="2"/>
    </row>
    <row r="2367" spans="18:23" x14ac:dyDescent="0.25">
      <c r="R2367"/>
      <c r="W2367" s="2"/>
    </row>
    <row r="2368" spans="18:23" x14ac:dyDescent="0.25">
      <c r="R2368"/>
      <c r="W2368" s="2"/>
    </row>
    <row r="2369" spans="18:23" x14ac:dyDescent="0.25">
      <c r="R2369"/>
      <c r="W2369" s="2"/>
    </row>
    <row r="2370" spans="18:23" x14ac:dyDescent="0.25">
      <c r="R2370"/>
      <c r="W2370" s="2"/>
    </row>
    <row r="2371" spans="18:23" x14ac:dyDescent="0.25">
      <c r="R2371"/>
      <c r="W2371" s="2"/>
    </row>
    <row r="2372" spans="18:23" x14ac:dyDescent="0.25">
      <c r="R2372"/>
      <c r="W2372" s="2"/>
    </row>
    <row r="2373" spans="18:23" x14ac:dyDescent="0.25">
      <c r="R2373"/>
      <c r="W2373" s="2"/>
    </row>
    <row r="2374" spans="18:23" x14ac:dyDescent="0.25">
      <c r="R2374"/>
      <c r="W2374" s="2"/>
    </row>
    <row r="2375" spans="18:23" x14ac:dyDescent="0.25">
      <c r="R2375"/>
      <c r="W2375" s="2"/>
    </row>
    <row r="2376" spans="18:23" x14ac:dyDescent="0.25">
      <c r="R2376"/>
      <c r="W2376" s="2"/>
    </row>
    <row r="2377" spans="18:23" x14ac:dyDescent="0.25">
      <c r="R2377"/>
      <c r="W2377" s="2"/>
    </row>
    <row r="2378" spans="18:23" x14ac:dyDescent="0.25">
      <c r="R2378"/>
      <c r="W2378" s="2"/>
    </row>
    <row r="2379" spans="18:23" x14ac:dyDescent="0.25">
      <c r="R2379"/>
      <c r="W2379" s="2"/>
    </row>
    <row r="2380" spans="18:23" x14ac:dyDescent="0.25">
      <c r="R2380"/>
      <c r="W2380" s="2"/>
    </row>
    <row r="2381" spans="18:23" x14ac:dyDescent="0.25">
      <c r="R2381"/>
      <c r="W2381" s="2"/>
    </row>
    <row r="2382" spans="18:23" x14ac:dyDescent="0.25">
      <c r="R2382"/>
      <c r="W2382" s="2"/>
    </row>
    <row r="2383" spans="18:23" x14ac:dyDescent="0.25">
      <c r="R2383"/>
      <c r="W2383" s="2"/>
    </row>
    <row r="2384" spans="18:23" x14ac:dyDescent="0.25">
      <c r="R2384"/>
      <c r="W2384" s="2"/>
    </row>
    <row r="2385" spans="18:23" x14ac:dyDescent="0.25">
      <c r="R2385"/>
      <c r="W2385" s="2"/>
    </row>
    <row r="2386" spans="18:23" x14ac:dyDescent="0.25">
      <c r="R2386"/>
      <c r="W2386" s="2"/>
    </row>
    <row r="2387" spans="18:23" x14ac:dyDescent="0.25">
      <c r="R2387"/>
      <c r="W2387" s="2"/>
    </row>
    <row r="2388" spans="18:23" x14ac:dyDescent="0.25">
      <c r="R2388"/>
      <c r="W2388" s="2"/>
    </row>
    <row r="2389" spans="18:23" x14ac:dyDescent="0.25">
      <c r="R2389"/>
      <c r="W2389" s="2"/>
    </row>
    <row r="2390" spans="18:23" x14ac:dyDescent="0.25">
      <c r="R2390"/>
      <c r="W2390" s="2"/>
    </row>
    <row r="2391" spans="18:23" x14ac:dyDescent="0.25">
      <c r="R2391"/>
      <c r="W2391" s="2"/>
    </row>
    <row r="2392" spans="18:23" x14ac:dyDescent="0.25">
      <c r="R2392"/>
      <c r="W2392" s="2"/>
    </row>
    <row r="2393" spans="18:23" x14ac:dyDescent="0.25">
      <c r="R2393"/>
      <c r="W2393" s="2"/>
    </row>
    <row r="2394" spans="18:23" x14ac:dyDescent="0.25">
      <c r="R2394"/>
      <c r="W2394" s="2"/>
    </row>
    <row r="2395" spans="18:23" x14ac:dyDescent="0.25">
      <c r="R2395"/>
      <c r="W2395" s="2"/>
    </row>
    <row r="2396" spans="18:23" x14ac:dyDescent="0.25">
      <c r="R2396"/>
      <c r="W2396" s="2"/>
    </row>
    <row r="2397" spans="18:23" x14ac:dyDescent="0.25">
      <c r="R2397"/>
      <c r="W2397" s="2"/>
    </row>
    <row r="2398" spans="18:23" x14ac:dyDescent="0.25">
      <c r="R2398"/>
      <c r="W2398" s="2"/>
    </row>
    <row r="2399" spans="18:23" x14ac:dyDescent="0.25">
      <c r="R2399"/>
      <c r="W2399" s="2"/>
    </row>
    <row r="2400" spans="18:23" x14ac:dyDescent="0.25">
      <c r="R2400"/>
      <c r="W2400" s="2"/>
    </row>
    <row r="2401" spans="18:23" x14ac:dyDescent="0.25">
      <c r="R2401"/>
      <c r="W2401" s="2"/>
    </row>
    <row r="2402" spans="18:23" x14ac:dyDescent="0.25">
      <c r="R2402"/>
      <c r="W2402" s="2"/>
    </row>
    <row r="2403" spans="18:23" x14ac:dyDescent="0.25">
      <c r="R2403"/>
      <c r="W2403" s="2"/>
    </row>
    <row r="2404" spans="18:23" x14ac:dyDescent="0.25">
      <c r="R2404"/>
      <c r="W2404" s="2"/>
    </row>
    <row r="2405" spans="18:23" x14ac:dyDescent="0.25">
      <c r="R2405"/>
      <c r="W2405" s="2"/>
    </row>
    <row r="2406" spans="18:23" x14ac:dyDescent="0.25">
      <c r="R2406"/>
      <c r="W2406" s="2"/>
    </row>
    <row r="2407" spans="18:23" x14ac:dyDescent="0.25">
      <c r="R2407"/>
      <c r="W2407" s="2"/>
    </row>
    <row r="2408" spans="18:23" x14ac:dyDescent="0.25">
      <c r="R2408"/>
      <c r="W2408" s="2"/>
    </row>
    <row r="2409" spans="18:23" x14ac:dyDescent="0.25">
      <c r="R2409"/>
      <c r="W2409" s="2"/>
    </row>
    <row r="2410" spans="18:23" x14ac:dyDescent="0.25">
      <c r="R2410"/>
      <c r="W2410" s="2"/>
    </row>
    <row r="2411" spans="18:23" x14ac:dyDescent="0.25">
      <c r="R2411"/>
      <c r="W2411" s="2"/>
    </row>
    <row r="2412" spans="18:23" x14ac:dyDescent="0.25">
      <c r="R2412"/>
      <c r="W2412" s="2"/>
    </row>
    <row r="2413" spans="18:23" x14ac:dyDescent="0.25">
      <c r="R2413"/>
      <c r="W2413" s="2"/>
    </row>
    <row r="2414" spans="18:23" x14ac:dyDescent="0.25">
      <c r="R2414"/>
      <c r="W2414" s="2"/>
    </row>
    <row r="2415" spans="18:23" x14ac:dyDescent="0.25">
      <c r="R2415"/>
      <c r="W2415" s="2"/>
    </row>
    <row r="2416" spans="18:23" x14ac:dyDescent="0.25">
      <c r="R2416"/>
      <c r="W2416" s="2"/>
    </row>
    <row r="2417" spans="18:23" x14ac:dyDescent="0.25">
      <c r="R2417"/>
      <c r="W2417" s="2"/>
    </row>
    <row r="2418" spans="18:23" x14ac:dyDescent="0.25">
      <c r="R2418"/>
      <c r="W2418" s="2"/>
    </row>
    <row r="2419" spans="18:23" x14ac:dyDescent="0.25">
      <c r="R2419"/>
      <c r="W2419" s="2"/>
    </row>
    <row r="2420" spans="18:23" x14ac:dyDescent="0.25">
      <c r="R2420"/>
      <c r="W2420" s="2"/>
    </row>
    <row r="2421" spans="18:23" x14ac:dyDescent="0.25">
      <c r="R2421"/>
      <c r="W2421" s="2"/>
    </row>
    <row r="2422" spans="18:23" x14ac:dyDescent="0.25">
      <c r="R2422"/>
      <c r="W2422" s="2"/>
    </row>
    <row r="2423" spans="18:23" x14ac:dyDescent="0.25">
      <c r="R2423"/>
      <c r="W2423" s="2"/>
    </row>
    <row r="2424" spans="18:23" x14ac:dyDescent="0.25">
      <c r="R2424"/>
      <c r="W2424" s="2"/>
    </row>
    <row r="2425" spans="18:23" x14ac:dyDescent="0.25">
      <c r="R2425"/>
      <c r="W2425" s="2"/>
    </row>
    <row r="2426" spans="18:23" x14ac:dyDescent="0.25">
      <c r="R2426"/>
      <c r="W2426" s="2"/>
    </row>
    <row r="2427" spans="18:23" x14ac:dyDescent="0.25">
      <c r="R2427"/>
      <c r="W2427" s="2"/>
    </row>
    <row r="2428" spans="18:23" x14ac:dyDescent="0.25">
      <c r="R2428"/>
      <c r="W2428" s="2"/>
    </row>
    <row r="2429" spans="18:23" x14ac:dyDescent="0.25">
      <c r="R2429"/>
      <c r="W2429" s="2"/>
    </row>
    <row r="2430" spans="18:23" x14ac:dyDescent="0.25">
      <c r="R2430"/>
      <c r="W2430" s="2"/>
    </row>
    <row r="2431" spans="18:23" x14ac:dyDescent="0.25">
      <c r="R2431"/>
      <c r="W2431" s="2"/>
    </row>
    <row r="2432" spans="18:23" x14ac:dyDescent="0.25">
      <c r="R2432"/>
      <c r="W2432" s="2"/>
    </row>
    <row r="2433" spans="18:23" x14ac:dyDescent="0.25">
      <c r="R2433"/>
      <c r="W2433" s="2"/>
    </row>
    <row r="2434" spans="18:23" x14ac:dyDescent="0.25">
      <c r="R2434"/>
      <c r="W2434" s="2"/>
    </row>
    <row r="2435" spans="18:23" x14ac:dyDescent="0.25">
      <c r="R2435"/>
      <c r="W2435" s="2"/>
    </row>
    <row r="2436" spans="18:23" x14ac:dyDescent="0.25">
      <c r="R2436"/>
      <c r="W2436" s="2"/>
    </row>
    <row r="2437" spans="18:23" x14ac:dyDescent="0.25">
      <c r="R2437"/>
      <c r="W2437" s="2"/>
    </row>
    <row r="2438" spans="18:23" x14ac:dyDescent="0.25">
      <c r="R2438"/>
      <c r="W2438" s="2"/>
    </row>
    <row r="2439" spans="18:23" x14ac:dyDescent="0.25">
      <c r="R2439"/>
      <c r="W2439" s="2"/>
    </row>
    <row r="2440" spans="18:23" x14ac:dyDescent="0.25">
      <c r="R2440"/>
      <c r="W2440" s="2"/>
    </row>
    <row r="2441" spans="18:23" x14ac:dyDescent="0.25">
      <c r="R2441"/>
      <c r="W2441" s="2"/>
    </row>
    <row r="2442" spans="18:23" x14ac:dyDescent="0.25">
      <c r="R2442"/>
      <c r="W2442" s="2"/>
    </row>
    <row r="2443" spans="18:23" x14ac:dyDescent="0.25">
      <c r="R2443"/>
      <c r="W2443" s="2"/>
    </row>
    <row r="2444" spans="18:23" x14ac:dyDescent="0.25">
      <c r="R2444"/>
      <c r="W2444" s="2"/>
    </row>
    <row r="2445" spans="18:23" x14ac:dyDescent="0.25">
      <c r="R2445"/>
      <c r="W2445" s="2"/>
    </row>
    <row r="2446" spans="18:23" x14ac:dyDescent="0.25">
      <c r="R2446"/>
      <c r="W2446" s="2"/>
    </row>
    <row r="2447" spans="18:23" x14ac:dyDescent="0.25">
      <c r="R2447"/>
      <c r="W2447" s="2"/>
    </row>
    <row r="2448" spans="18:23" x14ac:dyDescent="0.25">
      <c r="R2448"/>
      <c r="W2448" s="2"/>
    </row>
    <row r="2449" spans="18:23" x14ac:dyDescent="0.25">
      <c r="R2449"/>
      <c r="W2449" s="2"/>
    </row>
    <row r="2450" spans="18:23" x14ac:dyDescent="0.25">
      <c r="R2450"/>
      <c r="W2450" s="2"/>
    </row>
    <row r="2451" spans="18:23" x14ac:dyDescent="0.25">
      <c r="R2451"/>
      <c r="W2451" s="2"/>
    </row>
    <row r="2452" spans="18:23" x14ac:dyDescent="0.25">
      <c r="R2452"/>
      <c r="W2452" s="2"/>
    </row>
    <row r="2453" spans="18:23" x14ac:dyDescent="0.25">
      <c r="R2453"/>
      <c r="W2453" s="2"/>
    </row>
    <row r="2454" spans="18:23" x14ac:dyDescent="0.25">
      <c r="R2454"/>
      <c r="W2454" s="2"/>
    </row>
    <row r="2455" spans="18:23" x14ac:dyDescent="0.25">
      <c r="R2455"/>
      <c r="W2455" s="2"/>
    </row>
    <row r="2456" spans="18:23" x14ac:dyDescent="0.25">
      <c r="R2456"/>
      <c r="W2456" s="2"/>
    </row>
    <row r="2457" spans="18:23" x14ac:dyDescent="0.25">
      <c r="R2457"/>
      <c r="W2457" s="2"/>
    </row>
    <row r="2458" spans="18:23" x14ac:dyDescent="0.25">
      <c r="R2458"/>
      <c r="W2458" s="2"/>
    </row>
    <row r="2459" spans="18:23" x14ac:dyDescent="0.25">
      <c r="R2459"/>
      <c r="W2459" s="2"/>
    </row>
    <row r="2460" spans="18:23" x14ac:dyDescent="0.25">
      <c r="R2460"/>
      <c r="W2460" s="2"/>
    </row>
    <row r="2461" spans="18:23" x14ac:dyDescent="0.25">
      <c r="R2461"/>
      <c r="W2461" s="2"/>
    </row>
    <row r="2462" spans="18:23" x14ac:dyDescent="0.25">
      <c r="R2462"/>
      <c r="W2462" s="2"/>
    </row>
    <row r="2463" spans="18:23" x14ac:dyDescent="0.25">
      <c r="R2463"/>
      <c r="W2463" s="2"/>
    </row>
    <row r="2464" spans="18:23" x14ac:dyDescent="0.25">
      <c r="R2464"/>
      <c r="W2464" s="2"/>
    </row>
    <row r="2465" spans="18:23" x14ac:dyDescent="0.25">
      <c r="R2465"/>
      <c r="W2465" s="2"/>
    </row>
  </sheetData>
  <phoneticPr fontId="5" type="noConversion"/>
  <conditionalFormatting sqref="O1:Q127 O128:P1048576">
    <cfRule type="cellIs" dxfId="3" priority="5" operator="equal">
      <formula>0</formula>
    </cfRule>
    <cfRule type="cellIs" dxfId="2" priority="6" operator="lessThan">
      <formula>0</formula>
    </cfRule>
    <cfRule type="cellIs" dxfId="1" priority="7" operator="greaterThan">
      <formula>0</formula>
    </cfRule>
  </conditionalFormatting>
  <conditionalFormatting sqref="P1:P127 O128:O1048576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FB3F-5B99-43AA-AA14-08A6FA3FC1FC}">
  <dimension ref="B2:M38"/>
  <sheetViews>
    <sheetView showGridLines="0" zoomScale="80" zoomScaleNormal="80" workbookViewId="0">
      <selection activeCell="K22" sqref="K22"/>
    </sheetView>
  </sheetViews>
  <sheetFormatPr defaultRowHeight="15" x14ac:dyDescent="0.25"/>
  <cols>
    <col min="1" max="1" width="7.7109375" customWidth="1"/>
    <col min="2" max="2" width="1.42578125" customWidth="1"/>
    <col min="3" max="3" width="14.140625" bestFit="1" customWidth="1"/>
    <col min="4" max="4" width="19.140625" bestFit="1" customWidth="1"/>
    <col min="5" max="5" width="14.85546875" bestFit="1" customWidth="1"/>
    <col min="6" max="6" width="7.5703125" customWidth="1"/>
    <col min="7" max="7" width="2.5703125" customWidth="1"/>
    <col min="8" max="8" width="14.140625" bestFit="1" customWidth="1"/>
    <col min="9" max="9" width="16.7109375" bestFit="1" customWidth="1"/>
    <col min="12" max="12" width="14.140625" bestFit="1" customWidth="1"/>
    <col min="13" max="13" width="19.140625" bestFit="1" customWidth="1"/>
  </cols>
  <sheetData>
    <row r="2" spans="2:9" x14ac:dyDescent="0.25">
      <c r="B2" s="14" t="s">
        <v>42</v>
      </c>
      <c r="G2" s="14" t="s">
        <v>41</v>
      </c>
    </row>
    <row r="4" spans="2:9" x14ac:dyDescent="0.25">
      <c r="C4" s="15" t="s">
        <v>37</v>
      </c>
      <c r="D4" t="s">
        <v>39</v>
      </c>
      <c r="E4" s="4" t="s">
        <v>40</v>
      </c>
      <c r="H4" s="15" t="s">
        <v>37</v>
      </c>
      <c r="I4" t="s">
        <v>36</v>
      </c>
    </row>
    <row r="5" spans="2:9" x14ac:dyDescent="0.25">
      <c r="C5" s="13" t="s">
        <v>32</v>
      </c>
      <c r="D5" s="2">
        <v>1395.9999999999998</v>
      </c>
      <c r="E5" s="4">
        <v>0.32356428151391398</v>
      </c>
      <c r="H5" s="13" t="s">
        <v>9</v>
      </c>
      <c r="I5" s="2">
        <v>4267.92</v>
      </c>
    </row>
    <row r="6" spans="2:9" x14ac:dyDescent="0.25">
      <c r="C6" s="13" t="s">
        <v>22</v>
      </c>
      <c r="D6" s="2">
        <v>1359.05</v>
      </c>
      <c r="E6" s="4">
        <v>1.3318674635081058</v>
      </c>
      <c r="H6" s="13" t="s">
        <v>33</v>
      </c>
      <c r="I6" s="2">
        <v>1838.1299999999994</v>
      </c>
    </row>
    <row r="7" spans="2:9" x14ac:dyDescent="0.25">
      <c r="C7" s="13" t="s">
        <v>23</v>
      </c>
      <c r="D7" s="2">
        <v>1099.06</v>
      </c>
      <c r="E7" s="4">
        <v>1.0304478590409132</v>
      </c>
      <c r="H7" s="13" t="s">
        <v>113</v>
      </c>
      <c r="I7" s="2">
        <v>1125.52</v>
      </c>
    </row>
    <row r="8" spans="2:9" x14ac:dyDescent="0.25">
      <c r="C8" s="13" t="s">
        <v>170</v>
      </c>
      <c r="D8" s="2">
        <v>1027.02</v>
      </c>
      <c r="E8" s="4">
        <v>2.3413695272840243</v>
      </c>
      <c r="H8" s="13" t="s">
        <v>85</v>
      </c>
      <c r="I8" s="2">
        <v>15</v>
      </c>
    </row>
    <row r="9" spans="2:9" x14ac:dyDescent="0.25">
      <c r="C9" s="13" t="s">
        <v>140</v>
      </c>
      <c r="D9" s="2">
        <v>735.8499999999998</v>
      </c>
      <c r="E9" s="4">
        <v>0.43037619026233659</v>
      </c>
      <c r="H9" s="13" t="s">
        <v>38</v>
      </c>
      <c r="I9" s="2">
        <v>7246.57</v>
      </c>
    </row>
    <row r="10" spans="2:9" x14ac:dyDescent="0.25">
      <c r="C10" s="13" t="s">
        <v>80</v>
      </c>
      <c r="D10" s="2">
        <v>261</v>
      </c>
      <c r="E10" s="4">
        <v>0.52643666705952219</v>
      </c>
    </row>
    <row r="11" spans="2:9" x14ac:dyDescent="0.25">
      <c r="C11" s="13" t="s">
        <v>151</v>
      </c>
      <c r="D11" s="2">
        <v>204.05</v>
      </c>
      <c r="E11" s="4">
        <v>0.56899923825993859</v>
      </c>
    </row>
    <row r="12" spans="2:9" x14ac:dyDescent="0.25">
      <c r="C12" s="13" t="s">
        <v>24</v>
      </c>
      <c r="D12" s="2">
        <v>193</v>
      </c>
      <c r="E12" s="4">
        <v>0.44264083869347032</v>
      </c>
    </row>
    <row r="13" spans="2:9" x14ac:dyDescent="0.25">
      <c r="C13" s="13" t="s">
        <v>88</v>
      </c>
      <c r="D13" s="2">
        <v>64</v>
      </c>
      <c r="E13" s="4">
        <v>0.1797752808988764</v>
      </c>
    </row>
    <row r="14" spans="2:9" x14ac:dyDescent="0.25">
      <c r="C14" s="13" t="s">
        <v>38</v>
      </c>
      <c r="D14" s="2">
        <v>6339.0300000000052</v>
      </c>
      <c r="E14" s="4">
        <v>0.75215958118574677</v>
      </c>
    </row>
    <row r="19" spans="11:13" x14ac:dyDescent="0.25">
      <c r="K19" s="16" t="s">
        <v>45</v>
      </c>
    </row>
    <row r="21" spans="11:13" x14ac:dyDescent="0.25">
      <c r="L21" s="15" t="s">
        <v>37</v>
      </c>
      <c r="M21" t="s">
        <v>39</v>
      </c>
    </row>
    <row r="22" spans="11:13" x14ac:dyDescent="0.25">
      <c r="L22" s="13" t="s">
        <v>202</v>
      </c>
      <c r="M22" s="2">
        <v>56.109999999999985</v>
      </c>
    </row>
    <row r="23" spans="11:13" x14ac:dyDescent="0.25">
      <c r="L23" s="13" t="s">
        <v>191</v>
      </c>
      <c r="M23" s="2">
        <v>354.71</v>
      </c>
    </row>
    <row r="24" spans="11:13" x14ac:dyDescent="0.25">
      <c r="L24" s="13" t="s">
        <v>180</v>
      </c>
      <c r="M24" s="2">
        <v>172.82999999999998</v>
      </c>
    </row>
    <row r="25" spans="11:13" x14ac:dyDescent="0.25">
      <c r="L25" s="13" t="s">
        <v>215</v>
      </c>
      <c r="M25" s="2">
        <v>345.86</v>
      </c>
    </row>
    <row r="26" spans="11:13" x14ac:dyDescent="0.25">
      <c r="L26" s="13" t="s">
        <v>165</v>
      </c>
      <c r="M26" s="2">
        <v>1345.82</v>
      </c>
    </row>
    <row r="27" spans="11:13" x14ac:dyDescent="0.25">
      <c r="L27" s="13" t="s">
        <v>164</v>
      </c>
      <c r="M27" s="2">
        <v>122.07</v>
      </c>
    </row>
    <row r="28" spans="11:13" x14ac:dyDescent="0.25">
      <c r="L28" s="13" t="s">
        <v>148</v>
      </c>
      <c r="M28" s="2">
        <v>1115.7399999999998</v>
      </c>
    </row>
    <row r="29" spans="11:13" x14ac:dyDescent="0.25">
      <c r="L29" s="13" t="s">
        <v>136</v>
      </c>
      <c r="M29" s="2">
        <v>1123.5899999999999</v>
      </c>
    </row>
    <row r="30" spans="11:13" x14ac:dyDescent="0.25">
      <c r="L30" s="13" t="s">
        <v>112</v>
      </c>
      <c r="M30" s="2">
        <v>322.25</v>
      </c>
    </row>
    <row r="31" spans="11:13" x14ac:dyDescent="0.25">
      <c r="L31" s="13" t="s">
        <v>89</v>
      </c>
      <c r="M31" s="2">
        <v>565</v>
      </c>
    </row>
    <row r="32" spans="11:13" x14ac:dyDescent="0.25">
      <c r="L32" s="13" t="s">
        <v>44</v>
      </c>
      <c r="M32" s="2">
        <v>852.55</v>
      </c>
    </row>
    <row r="33" spans="3:13" x14ac:dyDescent="0.25">
      <c r="L33" s="13" t="s">
        <v>38</v>
      </c>
      <c r="M33" s="2">
        <v>6376.53</v>
      </c>
    </row>
    <row r="38" spans="3:13" x14ac:dyDescent="0.25">
      <c r="C38" t="s">
        <v>62</v>
      </c>
    </row>
  </sheetData>
  <pageMargins left="0.7" right="0.7" top="0.75" bottom="0.75" header="0.3" footer="0.3"/>
  <pageSetup paperSize="9" orientation="portrait" horizontalDpi="300" verticalDpi="30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 Data Sheet</vt:lpstr>
      <vt:lpstr>Input Sheet</vt:lpstr>
      <vt:lpstr>Suggestion3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kosnik</dc:creator>
  <cp:lastModifiedBy>michal kosnik</cp:lastModifiedBy>
  <dcterms:created xsi:type="dcterms:W3CDTF">2021-04-11T18:17:54Z</dcterms:created>
  <dcterms:modified xsi:type="dcterms:W3CDTF">2026-05-25T20:48:02Z</dcterms:modified>
</cp:coreProperties>
</file>