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cha\OneDrive\Desktop\WORK\portfolio folder\Files\Other Projects\"/>
    </mc:Choice>
  </mc:AlternateContent>
  <xr:revisionPtr revIDLastSave="0" documentId="13_ncr:1_{DFAFBCA9-CEFF-40E0-9C0A-99C3FD258857}" xr6:coauthVersionLast="47" xr6:coauthVersionMax="47" xr10:uidLastSave="{00000000-0000-0000-0000-000000000000}"/>
  <bookViews>
    <workbookView xWindow="-120" yWindow="-120" windowWidth="29040" windowHeight="15720" tabRatio="584" firstSheet="1" activeTab="1" xr2:uid="{936B1A9A-F1D9-4EF7-984F-A48133118E1B}"/>
  </bookViews>
  <sheets>
    <sheet name="Output Data Sheet" sheetId="2" state="hidden" r:id="rId1"/>
    <sheet name="Input Sheet" sheetId="1" r:id="rId2"/>
    <sheet name="Suggestion3" sheetId="5" r:id="rId3"/>
  </sheets>
  <definedNames>
    <definedName name="_xlcn.WorksheetConnection_InputSheetLL" hidden="1">'Input Sheet'!$N:$N</definedName>
    <definedName name="_xlcn.WorksheetConnection_resellchart3.xlsxinput_table" hidden="1">input_table[]</definedName>
    <definedName name="_xlcn.WorksheetConnection_resellchart3.xlsxoutput_table" hidden="1">output_table[]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utput_table" name="output_table" connection="WorksheetConnection_resell chart 3.xlsx!output_table"/>
          <x15:modelTable id="input_table" name="input_table" connection="WorksheetConnection_resell chart 3.xlsx!input_table"/>
          <x15:modelTable id="Range" name="Range" connection="WorksheetConnection_Input Sheet!$L:$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2" i="1" l="1"/>
  <c r="L135" i="1"/>
  <c r="L143" i="1"/>
  <c r="L144" i="1"/>
  <c r="L136" i="1"/>
  <c r="L132" i="1"/>
  <c r="L145" i="1"/>
  <c r="L133" i="1"/>
  <c r="L146" i="1"/>
  <c r="L138" i="1"/>
  <c r="L147" i="1"/>
  <c r="L141" i="1"/>
  <c r="L139" i="1"/>
  <c r="L137" i="1"/>
  <c r="L149" i="1"/>
  <c r="L150" i="1"/>
  <c r="L140" i="1"/>
  <c r="L148" i="1"/>
  <c r="L151" i="1"/>
  <c r="L134" i="1"/>
  <c r="L152" i="1"/>
  <c r="L126" i="1"/>
  <c r="L109" i="1"/>
  <c r="L125" i="1"/>
  <c r="L111" i="1"/>
  <c r="L112" i="1"/>
  <c r="L116" i="1"/>
  <c r="L108" i="1"/>
  <c r="L110" i="1"/>
  <c r="L107" i="1"/>
  <c r="N103" i="1"/>
  <c r="L99" i="1"/>
  <c r="L106" i="1"/>
  <c r="L105" i="1"/>
  <c r="L100" i="1"/>
  <c r="L101" i="1"/>
  <c r="L104" i="1"/>
  <c r="N125" i="1"/>
  <c r="P125" i="1" s="1"/>
  <c r="N111" i="1"/>
  <c r="P111" i="1" s="1"/>
  <c r="N106" i="1"/>
  <c r="P106" i="1" s="1"/>
  <c r="N100" i="1"/>
  <c r="P100" i="1" s="1"/>
  <c r="N101" i="1"/>
  <c r="P101" i="1" s="1"/>
  <c r="N104" i="1"/>
  <c r="P104" i="1" s="1"/>
  <c r="O94" i="1"/>
  <c r="O105" i="1"/>
  <c r="O95" i="1"/>
  <c r="O96" i="1"/>
  <c r="O112" i="1"/>
  <c r="O98" i="1"/>
  <c r="O142" i="1"/>
  <c r="O143" i="1"/>
  <c r="O99" i="1"/>
  <c r="O97" i="1"/>
  <c r="O125" i="1"/>
  <c r="O111" i="1"/>
  <c r="O106" i="1"/>
  <c r="O100" i="1"/>
  <c r="O101" i="1"/>
  <c r="O104" i="1"/>
  <c r="O102" i="1"/>
  <c r="O116" i="1"/>
  <c r="O135" i="1"/>
  <c r="O108" i="1"/>
  <c r="O103" i="1"/>
  <c r="O107" i="1"/>
  <c r="N94" i="1"/>
  <c r="N105" i="1"/>
  <c r="P105" i="1" s="1"/>
  <c r="N95" i="1"/>
  <c r="N96" i="1"/>
  <c r="N112" i="1"/>
  <c r="P112" i="1" s="1"/>
  <c r="N90" i="1"/>
  <c r="P90" i="1" s="1"/>
  <c r="L38" i="1"/>
  <c r="L42" i="1"/>
  <c r="N93" i="1"/>
  <c r="O93" i="1"/>
  <c r="L93" i="1"/>
  <c r="L84" i="1"/>
  <c r="N84" i="1"/>
  <c r="P84" i="1" s="1"/>
  <c r="O84" i="1"/>
  <c r="L98" i="1"/>
  <c r="L85" i="1"/>
  <c r="L82" i="1"/>
  <c r="L78" i="1"/>
  <c r="L80" i="1"/>
  <c r="N82" i="1"/>
  <c r="P82" i="1" s="1"/>
  <c r="O82" i="1"/>
  <c r="L94" i="1"/>
  <c r="L91" i="1"/>
  <c r="L87" i="1"/>
  <c r="L90" i="1"/>
  <c r="L92" i="1"/>
  <c r="L96" i="1"/>
  <c r="L102" i="1"/>
  <c r="L103" i="1"/>
  <c r="L115" i="1"/>
  <c r="L114" i="1"/>
  <c r="L113" i="1"/>
  <c r="L128" i="1"/>
  <c r="L121" i="1"/>
  <c r="L117" i="1"/>
  <c r="L122" i="1"/>
  <c r="L118" i="1"/>
  <c r="L119" i="1"/>
  <c r="L120" i="1"/>
  <c r="L131" i="1"/>
  <c r="L129" i="1"/>
  <c r="L124" i="1"/>
  <c r="L123" i="1"/>
  <c r="L127" i="1"/>
  <c r="L130" i="1"/>
  <c r="L153" i="1"/>
  <c r="L154" i="1"/>
  <c r="L155" i="1"/>
  <c r="P94" i="1"/>
  <c r="N91" i="1"/>
  <c r="P91" i="1" s="1"/>
  <c r="O91" i="1"/>
  <c r="N87" i="1"/>
  <c r="P87" i="1" s="1"/>
  <c r="O87" i="1"/>
  <c r="O90" i="1"/>
  <c r="N92" i="1"/>
  <c r="P92" i="1" s="1"/>
  <c r="O9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66" i="1"/>
  <c r="L28" i="1"/>
  <c r="L29" i="1"/>
  <c r="L72" i="1"/>
  <c r="L30" i="1"/>
  <c r="L35" i="1"/>
  <c r="L57" i="1"/>
  <c r="L55" i="1"/>
  <c r="L34" i="1"/>
  <c r="L43" i="1"/>
  <c r="L31" i="1"/>
  <c r="L46" i="1"/>
  <c r="L39" i="1"/>
  <c r="L37" i="1"/>
  <c r="L32" i="1"/>
  <c r="L33" i="1"/>
  <c r="L36" i="1"/>
  <c r="L68" i="1"/>
  <c r="L69" i="1"/>
  <c r="L40" i="1"/>
  <c r="L44" i="1"/>
  <c r="L61" i="1"/>
  <c r="L51" i="1"/>
  <c r="L52" i="1"/>
  <c r="L53" i="1"/>
  <c r="L45" i="1"/>
  <c r="L41" i="1"/>
  <c r="L47" i="1"/>
  <c r="L75" i="1"/>
  <c r="L49" i="1"/>
  <c r="L48" i="1"/>
  <c r="L63" i="1"/>
  <c r="L50" i="1"/>
  <c r="L59" i="1"/>
  <c r="L64" i="1"/>
  <c r="L54" i="1"/>
  <c r="L56" i="1"/>
  <c r="L60" i="1"/>
  <c r="L71" i="1"/>
  <c r="L70" i="1"/>
  <c r="L77" i="1"/>
  <c r="L73" i="1"/>
  <c r="L65" i="1"/>
  <c r="L67" i="1"/>
  <c r="L58" i="1"/>
  <c r="L62" i="1"/>
  <c r="L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66" i="1"/>
  <c r="N28" i="1"/>
  <c r="N29" i="1"/>
  <c r="N72" i="1"/>
  <c r="N30" i="1"/>
  <c r="N35" i="1"/>
  <c r="N57" i="1"/>
  <c r="N98" i="1"/>
  <c r="N55" i="1"/>
  <c r="N34" i="1"/>
  <c r="N43" i="1"/>
  <c r="N31" i="1"/>
  <c r="N46" i="1"/>
  <c r="N39" i="1"/>
  <c r="N37" i="1"/>
  <c r="N32" i="1"/>
  <c r="N33" i="1"/>
  <c r="N36" i="1"/>
  <c r="N38" i="1"/>
  <c r="N68" i="1"/>
  <c r="N69" i="1"/>
  <c r="N42" i="1"/>
  <c r="N40" i="1"/>
  <c r="N44" i="1"/>
  <c r="N61" i="1"/>
  <c r="N51" i="1"/>
  <c r="N52" i="1"/>
  <c r="N53" i="1"/>
  <c r="N45" i="1"/>
  <c r="N41" i="1"/>
  <c r="N47" i="1"/>
  <c r="N75" i="1"/>
  <c r="P75" i="1" s="1"/>
  <c r="N49" i="1"/>
  <c r="N48" i="1"/>
  <c r="N63" i="1"/>
  <c r="N50" i="1"/>
  <c r="N59" i="1"/>
  <c r="N64" i="1"/>
  <c r="N54" i="1"/>
  <c r="N56" i="1"/>
  <c r="N60" i="1"/>
  <c r="N71" i="1"/>
  <c r="N70" i="1"/>
  <c r="N77" i="1"/>
  <c r="N142" i="1"/>
  <c r="N143" i="1"/>
  <c r="N73" i="1"/>
  <c r="N65" i="1"/>
  <c r="N67" i="1"/>
  <c r="N58" i="1"/>
  <c r="N62" i="1"/>
  <c r="N74" i="1"/>
  <c r="N76" i="1"/>
  <c r="N85" i="1"/>
  <c r="N78" i="1"/>
  <c r="N79" i="1"/>
  <c r="N99" i="1"/>
  <c r="N80" i="1"/>
  <c r="N81" i="1"/>
  <c r="N83" i="1"/>
  <c r="N88" i="1"/>
  <c r="N97" i="1"/>
  <c r="N86" i="1"/>
  <c r="N89" i="1"/>
  <c r="P2" i="1" l="1"/>
  <c r="P3" i="1"/>
  <c r="L74" i="1"/>
  <c r="L76" i="1"/>
  <c r="L79" i="1"/>
  <c r="L81" i="1"/>
  <c r="L95" i="1"/>
  <c r="L83" i="1"/>
  <c r="L88" i="1"/>
  <c r="L97" i="1"/>
  <c r="L86" i="1"/>
  <c r="L89" i="1"/>
  <c r="R5" i="1" l="1"/>
  <c r="O2" i="1"/>
  <c r="O3" i="1"/>
  <c r="O4" i="1"/>
  <c r="O7" i="1"/>
  <c r="O6" i="1"/>
  <c r="O5" i="1"/>
  <c r="O8" i="1"/>
  <c r="O9" i="1"/>
  <c r="O10" i="1"/>
  <c r="O11" i="1"/>
  <c r="O12" i="1"/>
  <c r="O13" i="1"/>
  <c r="O14" i="1"/>
  <c r="O15" i="1"/>
  <c r="O16" i="1"/>
  <c r="O30" i="1"/>
  <c r="O21" i="1"/>
  <c r="O28" i="1"/>
  <c r="O35" i="1"/>
  <c r="O57" i="1"/>
  <c r="O20" i="1"/>
  <c r="O23" i="1"/>
  <c r="O17" i="1"/>
  <c r="O18" i="1"/>
  <c r="O55" i="1"/>
  <c r="O24" i="1"/>
  <c r="O25" i="1"/>
  <c r="O34" i="1"/>
  <c r="O43" i="1"/>
  <c r="O19" i="1"/>
  <c r="O31" i="1"/>
  <c r="O72" i="1"/>
  <c r="O26" i="1"/>
  <c r="O27" i="1"/>
  <c r="O46" i="1"/>
  <c r="O39" i="1"/>
  <c r="O29" i="1"/>
  <c r="O22" i="1"/>
  <c r="O37" i="1"/>
  <c r="O66" i="1"/>
  <c r="O32" i="1"/>
  <c r="O33" i="1"/>
  <c r="O36" i="1"/>
  <c r="O38" i="1"/>
  <c r="O68" i="1"/>
  <c r="O69" i="1"/>
  <c r="O42" i="1"/>
  <c r="O40" i="1"/>
  <c r="O44" i="1"/>
  <c r="O61" i="1"/>
  <c r="O51" i="1"/>
  <c r="O52" i="1"/>
  <c r="O53" i="1"/>
  <c r="O45" i="1"/>
  <c r="O41" i="1"/>
  <c r="O47" i="1"/>
  <c r="O75" i="1"/>
  <c r="O49" i="1"/>
  <c r="O48" i="1"/>
  <c r="O63" i="1"/>
  <c r="O50" i="1"/>
  <c r="O59" i="1"/>
  <c r="O64" i="1"/>
  <c r="O54" i="1"/>
  <c r="O56" i="1"/>
  <c r="O60" i="1"/>
  <c r="O71" i="1"/>
  <c r="O70" i="1"/>
  <c r="O77" i="1"/>
  <c r="O73" i="1"/>
  <c r="O65" i="1"/>
  <c r="O67" i="1"/>
  <c r="O58" i="1"/>
  <c r="O62" i="1"/>
  <c r="O74" i="1"/>
  <c r="O76" i="1"/>
  <c r="O85" i="1"/>
  <c r="O78" i="1"/>
  <c r="O79" i="1"/>
  <c r="O80" i="1"/>
  <c r="O81" i="1"/>
  <c r="O83" i="1"/>
  <c r="O88" i="1"/>
  <c r="O86" i="1"/>
  <c r="O89" i="1"/>
  <c r="O109" i="1"/>
  <c r="O110" i="1"/>
  <c r="O115" i="1"/>
  <c r="O114" i="1"/>
  <c r="O113" i="1"/>
  <c r="O128" i="1"/>
  <c r="O121" i="1"/>
  <c r="O144" i="1"/>
  <c r="O117" i="1"/>
  <c r="O122" i="1"/>
  <c r="O118" i="1"/>
  <c r="O119" i="1"/>
  <c r="O136" i="1"/>
  <c r="O120" i="1"/>
  <c r="O131" i="1"/>
  <c r="O126" i="1"/>
  <c r="O129" i="1"/>
  <c r="O124" i="1"/>
  <c r="O123" i="1"/>
  <c r="O145" i="1"/>
  <c r="O132" i="1"/>
  <c r="O127" i="1"/>
  <c r="O133" i="1"/>
  <c r="O130" i="1"/>
  <c r="O138" i="1"/>
  <c r="O146" i="1"/>
  <c r="O147" i="1"/>
  <c r="O141" i="1"/>
  <c r="O137" i="1"/>
  <c r="O139" i="1"/>
  <c r="O149" i="1"/>
  <c r="O150" i="1"/>
  <c r="O140" i="1"/>
  <c r="O148" i="1"/>
  <c r="O151" i="1"/>
  <c r="O134" i="1"/>
  <c r="O152" i="1"/>
  <c r="O153" i="1"/>
  <c r="O154" i="1"/>
  <c r="O155" i="1"/>
  <c r="R2" i="1" l="1"/>
  <c r="S5" i="1"/>
  <c r="T5" i="1" s="1"/>
  <c r="N102" i="1"/>
  <c r="P102" i="1" s="1"/>
  <c r="N116" i="1"/>
  <c r="P116" i="1" s="1"/>
  <c r="N135" i="1"/>
  <c r="N108" i="1"/>
  <c r="N107" i="1"/>
  <c r="N109" i="1"/>
  <c r="N110" i="1"/>
  <c r="N115" i="1"/>
  <c r="N114" i="1"/>
  <c r="N113" i="1"/>
  <c r="N128" i="1"/>
  <c r="N121" i="1"/>
  <c r="N144" i="1"/>
  <c r="N117" i="1"/>
  <c r="N122" i="1"/>
  <c r="N118" i="1"/>
  <c r="N119" i="1"/>
  <c r="N136" i="1"/>
  <c r="N120" i="1"/>
  <c r="N131" i="1"/>
  <c r="N126" i="1"/>
  <c r="N129" i="1"/>
  <c r="N124" i="1"/>
  <c r="N123" i="1"/>
  <c r="N145" i="1"/>
  <c r="N132" i="1"/>
  <c r="N127" i="1"/>
  <c r="N133" i="1"/>
  <c r="N130" i="1"/>
  <c r="N138" i="1"/>
  <c r="N146" i="1"/>
  <c r="N147" i="1"/>
  <c r="N141" i="1"/>
  <c r="N137" i="1"/>
  <c r="N139" i="1"/>
  <c r="N149" i="1"/>
  <c r="N150" i="1"/>
  <c r="N140" i="1"/>
  <c r="N148" i="1"/>
  <c r="N151" i="1"/>
  <c r="N134" i="1"/>
  <c r="N152" i="1"/>
  <c r="N153" i="1"/>
  <c r="N154" i="1"/>
  <c r="N155" i="1"/>
  <c r="R8" i="1"/>
  <c r="S8" i="1" s="1"/>
  <c r="S2" i="1" l="1"/>
  <c r="P6" i="1"/>
  <c r="P15" i="1" l="1"/>
  <c r="P18" i="1"/>
  <c r="P4" i="1"/>
  <c r="P5" i="1"/>
  <c r="P7" i="1"/>
  <c r="P8" i="1"/>
  <c r="P9" i="1"/>
  <c r="P10" i="1"/>
  <c r="P11" i="1"/>
  <c r="P12" i="1"/>
  <c r="P13" i="1"/>
  <c r="P14" i="1"/>
  <c r="P17" i="1"/>
  <c r="P98" i="1"/>
  <c r="P55" i="1"/>
  <c r="P21" i="1"/>
  <c r="P28" i="1"/>
  <c r="P30" i="1"/>
  <c r="P35" i="1"/>
  <c r="P57" i="1"/>
  <c r="P20" i="1"/>
  <c r="P23" i="1"/>
  <c r="P16" i="1"/>
  <c r="P24" i="1"/>
  <c r="P25" i="1"/>
  <c r="P34" i="1"/>
  <c r="P43" i="1"/>
  <c r="P19" i="1"/>
  <c r="P31" i="1"/>
  <c r="P72" i="1"/>
  <c r="P26" i="1"/>
  <c r="P27" i="1"/>
  <c r="P46" i="1"/>
  <c r="P39" i="1"/>
  <c r="P29" i="1"/>
  <c r="P22" i="1"/>
  <c r="P37" i="1"/>
  <c r="P66" i="1"/>
  <c r="P32" i="1"/>
  <c r="P33" i="1"/>
  <c r="P36" i="1"/>
  <c r="P38" i="1"/>
  <c r="P68" i="1"/>
  <c r="P69" i="1"/>
  <c r="P42" i="1"/>
  <c r="P40" i="1"/>
  <c r="P44" i="1"/>
  <c r="P61" i="1"/>
  <c r="P51" i="1"/>
  <c r="P52" i="1"/>
  <c r="P53" i="1"/>
  <c r="P45" i="1"/>
  <c r="P41" i="1"/>
  <c r="P47" i="1"/>
  <c r="P49" i="1"/>
  <c r="P48" i="1"/>
  <c r="P63" i="1"/>
  <c r="P50" i="1"/>
  <c r="P59" i="1"/>
  <c r="P64" i="1"/>
  <c r="P54" i="1"/>
  <c r="P56" i="1"/>
  <c r="P60" i="1"/>
  <c r="P71" i="1"/>
  <c r="P70" i="1"/>
  <c r="P77" i="1"/>
  <c r="P142" i="1"/>
  <c r="P143" i="1"/>
  <c r="P73" i="1"/>
  <c r="P65" i="1"/>
  <c r="P67" i="1"/>
  <c r="P58" i="1"/>
  <c r="P62" i="1"/>
  <c r="P74" i="1"/>
  <c r="P76" i="1"/>
  <c r="P85" i="1"/>
  <c r="P78" i="1"/>
  <c r="P79" i="1"/>
  <c r="P99" i="1"/>
  <c r="P80" i="1"/>
  <c r="P81" i="1"/>
  <c r="P95" i="1"/>
  <c r="P83" i="1"/>
  <c r="P93" i="1"/>
  <c r="P88" i="1"/>
  <c r="P97" i="1"/>
  <c r="P86" i="1"/>
  <c r="P89" i="1"/>
  <c r="P96" i="1"/>
  <c r="P135" i="1"/>
  <c r="P108" i="1"/>
  <c r="P103" i="1"/>
  <c r="P107" i="1"/>
  <c r="P109" i="1"/>
  <c r="P110" i="1"/>
  <c r="P115" i="1"/>
  <c r="P114" i="1"/>
  <c r="P113" i="1"/>
  <c r="P128" i="1"/>
  <c r="P121" i="1"/>
  <c r="P144" i="1"/>
  <c r="P117" i="1"/>
  <c r="P122" i="1"/>
  <c r="P118" i="1"/>
  <c r="P119" i="1"/>
  <c r="P136" i="1"/>
  <c r="P120" i="1"/>
  <c r="P131" i="1"/>
  <c r="P126" i="1"/>
  <c r="P129" i="1"/>
  <c r="P124" i="1"/>
  <c r="P123" i="1"/>
  <c r="P145" i="1"/>
  <c r="P132" i="1"/>
  <c r="P127" i="1"/>
  <c r="P133" i="1"/>
  <c r="P130" i="1"/>
  <c r="P138" i="1"/>
  <c r="P146" i="1"/>
  <c r="P147" i="1"/>
  <c r="P141" i="1"/>
  <c r="P137" i="1"/>
  <c r="P139" i="1"/>
  <c r="P149" i="1"/>
  <c r="P150" i="1"/>
  <c r="P140" i="1"/>
  <c r="P148" i="1"/>
  <c r="P151" i="1"/>
  <c r="P134" i="1"/>
  <c r="P152" i="1"/>
  <c r="P153" i="1"/>
  <c r="P154" i="1"/>
  <c r="P1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75F87F-682B-4349-BE01-92ED0EB1D7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B9910C-0FE0-4E3F-9FEE-7F7DB2062DFA}" name="WorksheetConnection_Input Sheet!$L:$L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putSheetLL"/>
        </x15:connection>
      </ext>
    </extLst>
  </connection>
  <connection id="3" xr16:uid="{B56A9203-5B79-4C19-9D36-83BB4C1AB201}" name="WorksheetConnection_resell chart 3.xlsx!input_table" type="102" refreshedVersion="7" minRefreshableVersion="5">
    <extLst>
      <ext xmlns:x15="http://schemas.microsoft.com/office/spreadsheetml/2010/11/main" uri="{DE250136-89BD-433C-8126-D09CA5730AF9}">
        <x15:connection id="input_table">
          <x15:rangePr sourceName="_xlcn.WorksheetConnection_resellchart3.xlsxinput_table"/>
        </x15:connection>
      </ext>
    </extLst>
  </connection>
  <connection id="4" xr16:uid="{CCD3A413-781E-40ED-A7F2-72E442079108}" name="WorksheetConnection_resell chart 3.xlsx!output_table" type="102" refreshedVersion="7" minRefreshableVersion="5">
    <extLst>
      <ext xmlns:x15="http://schemas.microsoft.com/office/spreadsheetml/2010/11/main" uri="{DE250136-89BD-433C-8126-D09CA5730AF9}">
        <x15:connection id="output_table">
          <x15:rangePr sourceName="_xlcn.WorksheetConnection_resellchart3.xlsxoutput_table"/>
        </x15:connection>
      </ext>
    </extLst>
  </connection>
</connections>
</file>

<file path=xl/sharedStrings.xml><?xml version="1.0" encoding="utf-8"?>
<sst xmlns="http://schemas.openxmlformats.org/spreadsheetml/2006/main" count="985" uniqueCount="260">
  <si>
    <t>Income stream</t>
  </si>
  <si>
    <t>Brand</t>
  </si>
  <si>
    <t>Item</t>
  </si>
  <si>
    <t>Size</t>
  </si>
  <si>
    <t>colour</t>
  </si>
  <si>
    <t>Purchased</t>
  </si>
  <si>
    <t>Date Purchased</t>
  </si>
  <si>
    <t>Sold</t>
  </si>
  <si>
    <t>Date Sold</t>
  </si>
  <si>
    <t>shoes</t>
  </si>
  <si>
    <t>nike</t>
  </si>
  <si>
    <t>react element 55</t>
  </si>
  <si>
    <t>black white</t>
  </si>
  <si>
    <t>black anthracite</t>
  </si>
  <si>
    <t>jordan</t>
  </si>
  <si>
    <t>1 mid</t>
  </si>
  <si>
    <t>carbon</t>
  </si>
  <si>
    <t>chicago toe</t>
  </si>
  <si>
    <t>4 golf</t>
  </si>
  <si>
    <t>white cement</t>
  </si>
  <si>
    <t>dunk low</t>
  </si>
  <si>
    <t>orange pearl</t>
  </si>
  <si>
    <t>signal blue</t>
  </si>
  <si>
    <t>canyon rust</t>
  </si>
  <si>
    <t>items</t>
  </si>
  <si>
    <t>shark</t>
  </si>
  <si>
    <t>big hoover</t>
  </si>
  <si>
    <t>rose gold</t>
  </si>
  <si>
    <t>balenciaga</t>
  </si>
  <si>
    <t>track</t>
  </si>
  <si>
    <t>blue red</t>
  </si>
  <si>
    <t>georgetown</t>
  </si>
  <si>
    <t>argos</t>
  </si>
  <si>
    <t>opti z curl 17kg</t>
  </si>
  <si>
    <t>dumbell and barbell set 25kg</t>
  </si>
  <si>
    <t>homebase</t>
  </si>
  <si>
    <t>venezuela chimenea</t>
  </si>
  <si>
    <t>clay</t>
  </si>
  <si>
    <t>JTF</t>
  </si>
  <si>
    <t>bestway steel pro max 10ft</t>
  </si>
  <si>
    <t>steel</t>
  </si>
  <si>
    <t>small hoover</t>
  </si>
  <si>
    <t>purple</t>
  </si>
  <si>
    <t>air force</t>
  </si>
  <si>
    <t>viotech</t>
  </si>
  <si>
    <t>skepta tailwind</t>
  </si>
  <si>
    <t>chrome</t>
  </si>
  <si>
    <t>shadow solar</t>
  </si>
  <si>
    <t>rose</t>
  </si>
  <si>
    <t>silver</t>
  </si>
  <si>
    <t>air max 720</t>
  </si>
  <si>
    <t>jordan 3</t>
  </si>
  <si>
    <t>air max 95</t>
  </si>
  <si>
    <t>ROI</t>
  </si>
  <si>
    <t>Total actual revenue</t>
  </si>
  <si>
    <t>estimate sold</t>
  </si>
  <si>
    <t>total estimate profit</t>
  </si>
  <si>
    <t>total estimate revenue</t>
  </si>
  <si>
    <t>est. profit</t>
  </si>
  <si>
    <t>actual profit</t>
  </si>
  <si>
    <t>Total actual profit</t>
  </si>
  <si>
    <t>f</t>
  </si>
  <si>
    <t>-</t>
  </si>
  <si>
    <t>metal</t>
  </si>
  <si>
    <t>1 low</t>
  </si>
  <si>
    <t>barely green</t>
  </si>
  <si>
    <t>sale method</t>
  </si>
  <si>
    <t>ebay</t>
  </si>
  <si>
    <t>stockx</t>
  </si>
  <si>
    <t>goat</t>
  </si>
  <si>
    <t>sell time</t>
  </si>
  <si>
    <t>inventory retail value</t>
  </si>
  <si>
    <t>inventory estimate value</t>
  </si>
  <si>
    <t>inventory estimate ROI</t>
  </si>
  <si>
    <t>aldi</t>
  </si>
  <si>
    <t>keter manor garden shed</t>
  </si>
  <si>
    <t>facebook</t>
  </si>
  <si>
    <t>gym red</t>
  </si>
  <si>
    <t>arctic punch</t>
  </si>
  <si>
    <t>1 high</t>
  </si>
  <si>
    <t>metallic gold</t>
  </si>
  <si>
    <t>beer hawk</t>
  </si>
  <si>
    <t>philips perfect draft machine</t>
  </si>
  <si>
    <t>purple pulse</t>
  </si>
  <si>
    <t>converse</t>
  </si>
  <si>
    <t>star hike</t>
  </si>
  <si>
    <t>valentine</t>
  </si>
  <si>
    <t>return</t>
  </si>
  <si>
    <t>white camo</t>
  </si>
  <si>
    <t>6 travis</t>
  </si>
  <si>
    <t>british khaki</t>
  </si>
  <si>
    <t>consigned goat</t>
  </si>
  <si>
    <t>raging bull</t>
  </si>
  <si>
    <t>legend blue</t>
  </si>
  <si>
    <t>giveaway</t>
  </si>
  <si>
    <t>shed</t>
  </si>
  <si>
    <t>beer machine</t>
  </si>
  <si>
    <t>to my first coach</t>
  </si>
  <si>
    <t>kyrie</t>
  </si>
  <si>
    <t>kyrie 7</t>
  </si>
  <si>
    <t>horus</t>
  </si>
  <si>
    <t>grey suede</t>
  </si>
  <si>
    <t>court purple</t>
  </si>
  <si>
    <t>dunk high</t>
  </si>
  <si>
    <t>fragment</t>
  </si>
  <si>
    <t>free 99</t>
  </si>
  <si>
    <t>tech fleece</t>
  </si>
  <si>
    <t>L</t>
  </si>
  <si>
    <t>chlorine</t>
  </si>
  <si>
    <t>snap</t>
  </si>
  <si>
    <t>studio</t>
  </si>
  <si>
    <t>electric 5 litre beer dispenser</t>
  </si>
  <si>
    <t>panda</t>
  </si>
  <si>
    <t>tiffany</t>
  </si>
  <si>
    <t>Whatsapp</t>
  </si>
  <si>
    <t>electric green</t>
  </si>
  <si>
    <t>sony</t>
  </si>
  <si>
    <t>ps5</t>
  </si>
  <si>
    <t>disc</t>
  </si>
  <si>
    <t>mono mist</t>
  </si>
  <si>
    <t>supreme</t>
  </si>
  <si>
    <t>vans era</t>
  </si>
  <si>
    <t>monogram</t>
  </si>
  <si>
    <t>washed denim</t>
  </si>
  <si>
    <t>shadow</t>
  </si>
  <si>
    <t>clothes</t>
  </si>
  <si>
    <t>bogo</t>
  </si>
  <si>
    <t>M</t>
  </si>
  <si>
    <t>kaws</t>
  </si>
  <si>
    <t>milano</t>
  </si>
  <si>
    <t>XL</t>
  </si>
  <si>
    <t>white</t>
  </si>
  <si>
    <t>snake</t>
  </si>
  <si>
    <t>grey</t>
  </si>
  <si>
    <t>wolf grey</t>
  </si>
  <si>
    <t>oreo</t>
  </si>
  <si>
    <t>off white</t>
  </si>
  <si>
    <t>x jordan hoodie</t>
  </si>
  <si>
    <t>black</t>
  </si>
  <si>
    <t>silver toe</t>
  </si>
  <si>
    <t>dunk disrupt</t>
  </si>
  <si>
    <t>black gum</t>
  </si>
  <si>
    <t>digital</t>
  </si>
  <si>
    <t>Sum of est. profit</t>
  </si>
  <si>
    <t>Row Labels</t>
  </si>
  <si>
    <t>(blank)</t>
  </si>
  <si>
    <t>Grand Total</t>
  </si>
  <si>
    <t>Sum of actual profit</t>
  </si>
  <si>
    <t>Average of ROI</t>
  </si>
  <si>
    <t>Top  'Income streams' by total 'est. profit'</t>
  </si>
  <si>
    <t>Top 'sale method' by total 'actual profit'</t>
  </si>
  <si>
    <t>month</t>
  </si>
  <si>
    <t>Jan</t>
  </si>
  <si>
    <t>Feb</t>
  </si>
  <si>
    <t>Mar</t>
  </si>
  <si>
    <t>Apr</t>
  </si>
  <si>
    <t>May</t>
  </si>
  <si>
    <t>Jun</t>
  </si>
  <si>
    <t>Jul</t>
  </si>
  <si>
    <t>Total 'actual profit' by 'month'</t>
  </si>
  <si>
    <t>1 high travis fragment</t>
  </si>
  <si>
    <t>blue</t>
  </si>
  <si>
    <t>clay brown</t>
  </si>
  <si>
    <t>whatsapp</t>
  </si>
  <si>
    <t>lightning</t>
  </si>
  <si>
    <t>uni blue</t>
  </si>
  <si>
    <t>11 high</t>
  </si>
  <si>
    <t>11 low</t>
  </si>
  <si>
    <t>concord</t>
  </si>
  <si>
    <t>adidas</t>
  </si>
  <si>
    <t>human race NMD</t>
  </si>
  <si>
    <t>yeezy 350</t>
  </si>
  <si>
    <t>yeezy 700</t>
  </si>
  <si>
    <t>dunk - custom</t>
  </si>
  <si>
    <t>metallic red</t>
  </si>
  <si>
    <t>shrek tee</t>
  </si>
  <si>
    <t>S</t>
  </si>
  <si>
    <t>rick rubin tee</t>
  </si>
  <si>
    <t xml:space="preserve">whatsapp </t>
  </si>
  <si>
    <t>shattered backboard 3.0</t>
  </si>
  <si>
    <t>shimmer</t>
  </si>
  <si>
    <t>discord</t>
  </si>
  <si>
    <t>dunk off white</t>
  </si>
  <si>
    <t>lot 26</t>
  </si>
  <si>
    <t>1 low slip on</t>
  </si>
  <si>
    <t>desert</t>
  </si>
  <si>
    <t>trade- off white dunk uk8 +50</t>
  </si>
  <si>
    <t>michigan</t>
  </si>
  <si>
    <t>pale coral</t>
  </si>
  <si>
    <t>uv reactive swoosh</t>
  </si>
  <si>
    <t>trapstar</t>
  </si>
  <si>
    <t>hooded jacket</t>
  </si>
  <si>
    <t>blue V</t>
  </si>
  <si>
    <t>black shooters</t>
  </si>
  <si>
    <t>XS</t>
  </si>
  <si>
    <t>11k</t>
  </si>
  <si>
    <t>Aug</t>
  </si>
  <si>
    <t>Oct</t>
  </si>
  <si>
    <t>Sept</t>
  </si>
  <si>
    <t>carmine</t>
  </si>
  <si>
    <t>4 vintage</t>
  </si>
  <si>
    <t>motorsport</t>
  </si>
  <si>
    <t>winterised blue</t>
  </si>
  <si>
    <t>panda nature</t>
  </si>
  <si>
    <t>fleece</t>
  </si>
  <si>
    <t>sportswear club hoodie</t>
  </si>
  <si>
    <t>instagram</t>
  </si>
  <si>
    <t>trapstar tech fleece</t>
  </si>
  <si>
    <t>preorder</t>
  </si>
  <si>
    <t>dunk low (baby)</t>
  </si>
  <si>
    <t>5.5I</t>
  </si>
  <si>
    <t>4.5I</t>
  </si>
  <si>
    <t>hyperdrive jacket</t>
  </si>
  <si>
    <t>khaki hyperdrive</t>
  </si>
  <si>
    <t>shooters hooded tracksuit</t>
  </si>
  <si>
    <t>V logo hooded tracksuit</t>
  </si>
  <si>
    <t>Nov</t>
  </si>
  <si>
    <t>1 zoom cmft</t>
  </si>
  <si>
    <t>psychic blue</t>
  </si>
  <si>
    <t>win like 96</t>
  </si>
  <si>
    <t>flight nostalgia</t>
  </si>
  <si>
    <t>starfish</t>
  </si>
  <si>
    <t>linen</t>
  </si>
  <si>
    <t>corteiz</t>
  </si>
  <si>
    <t>tracksuit</t>
  </si>
  <si>
    <t>superior black</t>
  </si>
  <si>
    <t>irongate jacket</t>
  </si>
  <si>
    <t>shiny black</t>
  </si>
  <si>
    <t>decoded hooded tracksuit</t>
  </si>
  <si>
    <t>candy</t>
  </si>
  <si>
    <t>black/red</t>
  </si>
  <si>
    <t>ice</t>
  </si>
  <si>
    <t>Dec</t>
  </si>
  <si>
    <t>sand</t>
  </si>
  <si>
    <t>grey/green</t>
  </si>
  <si>
    <t>smoke grey</t>
  </si>
  <si>
    <t xml:space="preserve">1 high </t>
  </si>
  <si>
    <t>royal blue 2017</t>
  </si>
  <si>
    <t>depop</t>
  </si>
  <si>
    <t>tan suede</t>
  </si>
  <si>
    <t>supreme dunk</t>
  </si>
  <si>
    <t>hyper royal</t>
  </si>
  <si>
    <t>box logo hoodie</t>
  </si>
  <si>
    <t>white/red</t>
  </si>
  <si>
    <t>bred</t>
  </si>
  <si>
    <t>infinite species</t>
  </si>
  <si>
    <t>superior stone</t>
  </si>
  <si>
    <t>xs</t>
  </si>
  <si>
    <t>yeezy slide</t>
  </si>
  <si>
    <t>ochre</t>
  </si>
  <si>
    <t>sandalwood</t>
  </si>
  <si>
    <t>pine green</t>
  </si>
  <si>
    <t>snap (trade- royal highs+preme dunks, for off white pine+michigan dunk+panda gs)</t>
  </si>
  <si>
    <t>atmosphere</t>
  </si>
  <si>
    <t>citadel</t>
  </si>
  <si>
    <t>brown</t>
  </si>
  <si>
    <t>klekt</t>
  </si>
  <si>
    <t xml:space="preserve"> </t>
  </si>
  <si>
    <t>mesh panel hoodie tracksuit</t>
  </si>
  <si>
    <t>triple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</si>
</sst>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_-[$£-809]* #,##0.00_-;\-[$£-809]* #,##0.00_-;_-[$£-809]* &quot;-&quot;??_-;_-@_-"/>
    <numFmt numFmtId="165" formatCode="0.0%"/>
    <numFmt numFmtId="166" formatCode="&quot;£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  <bgColor theme="6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20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44" fontId="2" fillId="2" borderId="1" xfId="2" applyNumberFormat="1"/>
    <xf numFmtId="44" fontId="3" fillId="3" borderId="2" xfId="0" applyNumberFormat="1" applyFont="1" applyFill="1" applyBorder="1"/>
    <xf numFmtId="44" fontId="3" fillId="3" borderId="3" xfId="0" applyNumberFormat="1" applyFont="1" applyFill="1" applyBorder="1"/>
    <xf numFmtId="44" fontId="0" fillId="0" borderId="4" xfId="0" applyNumberFormat="1" applyBorder="1"/>
    <xf numFmtId="44" fontId="0" fillId="0" borderId="5" xfId="0" applyNumberFormat="1" applyBorder="1"/>
    <xf numFmtId="49" fontId="0" fillId="0" borderId="0" xfId="0" applyNumberFormat="1"/>
    <xf numFmtId="44" fontId="4" fillId="0" borderId="0" xfId="0" applyNumberFormat="1" applyFont="1"/>
    <xf numFmtId="10" fontId="0" fillId="0" borderId="4" xfId="0" applyNumberFormat="1" applyBorder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pivotButton="1"/>
    <xf numFmtId="0" fontId="7" fillId="0" borderId="0" xfId="0" applyFont="1" applyAlignment="1">
      <alignment horizontal="left" vertical="center"/>
    </xf>
    <xf numFmtId="166" fontId="0" fillId="0" borderId="0" xfId="0" applyNumberFormat="1"/>
    <xf numFmtId="14" fontId="0" fillId="0" borderId="0" xfId="1" applyNumberFormat="1" applyFont="1"/>
  </cellXfs>
  <cellStyles count="3">
    <cellStyle name="Calculation" xfId="2" builtinId="22"/>
    <cellStyle name="Currency" xfId="1" builtinId="4"/>
    <cellStyle name="Normal" xfId="0" builtinId="0"/>
  </cellStyles>
  <dxfs count="2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  <numFmt numFmtId="34" formatCode="_-&quot;£&quot;* #,##0.00_-;\-&quot;£&quot;* #,##0.00_-;_-&quot;£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34" formatCode="_-&quot;£&quot;* #,##0.00_-;\-&quot;£&quot;* #,##0.00_-;_-&quot;£&quot;* &quot;-&quot;??_-;_-@_-"/>
    </dxf>
    <dxf>
      <numFmt numFmtId="165" formatCode="0.0%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0" formatCode="General"/>
    </dxf>
    <dxf>
      <numFmt numFmtId="0" formatCode="General"/>
    </dxf>
    <dxf>
      <numFmt numFmtId="34" formatCode="_-&quot;£&quot;* #,##0.00_-;\-&quot;£&quot;* #,##0.00_-;_-&quot;£&quot;* &quot;-&quot;??_-;_-@_-"/>
    </dxf>
    <dxf>
      <numFmt numFmtId="19" formatCode="dd/mm/yyyy"/>
    </dxf>
    <dxf>
      <numFmt numFmtId="19" formatCode="dd/mm/yyyy"/>
    </dxf>
    <dxf>
      <numFmt numFmtId="166" formatCode="&quot;£&quot;#,##0.00"/>
    </dxf>
    <dxf>
      <numFmt numFmtId="19" formatCode="dd/mm/yyyy"/>
    </dxf>
    <dxf>
      <numFmt numFmtId="164" formatCode="_-[$£-809]* #,##0.00_-;\-[$£-809]* #,##0.00_-;_-[$£-809]* &quot;-&quot;??_-;_-@_-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65" formatCode="0.0%"/>
    </dxf>
    <dxf>
      <numFmt numFmtId="165" formatCode="0.0%"/>
    </dxf>
  </dxfs>
  <tableStyles count="0" defaultTableStyle="TableStyleMedium2" defaultPivotStyle="PivotStyleLight16"/>
  <colors>
    <mruColors>
      <color rgb="FFF2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[resell chart 2021.xlsx]Suggestion3!PivotTable3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Suggestion3!$M$21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Suggestion3!$L$22:$L$35</c:f>
              <c:strCache>
                <c:ptCount val="13"/>
                <c:pt idx="0">
                  <c:v>(blank)</c:v>
                </c:pt>
                <c:pt idx="1">
                  <c:v>Sept</c:v>
                </c:pt>
                <c:pt idx="2">
                  <c:v>Dec</c:v>
                </c:pt>
                <c:pt idx="3">
                  <c:v>Nov</c:v>
                </c:pt>
                <c:pt idx="4">
                  <c:v>Oct</c:v>
                </c:pt>
                <c:pt idx="5">
                  <c:v>Aug</c:v>
                </c:pt>
                <c:pt idx="6">
                  <c:v>Jul</c:v>
                </c:pt>
                <c:pt idx="7">
                  <c:v>Jun</c:v>
                </c:pt>
                <c:pt idx="8">
                  <c:v>May</c:v>
                </c:pt>
                <c:pt idx="9">
                  <c:v>Apr</c:v>
                </c:pt>
                <c:pt idx="10">
                  <c:v>Mar</c:v>
                </c:pt>
                <c:pt idx="11">
                  <c:v>Feb</c:v>
                </c:pt>
                <c:pt idx="12">
                  <c:v>Jan</c:v>
                </c:pt>
              </c:strCache>
            </c:strRef>
          </c:cat>
          <c:val>
            <c:numRef>
              <c:f>Suggestion3!$M$22:$M$35</c:f>
              <c:numCache>
                <c:formatCode>_("£"* #,##0.00_);_("£"* \(#,##0.00\);_("£"* "-"??_);_(@_)</c:formatCode>
                <c:ptCount val="13"/>
                <c:pt idx="0">
                  <c:v>0</c:v>
                </c:pt>
                <c:pt idx="1">
                  <c:v>763.75</c:v>
                </c:pt>
                <c:pt idx="2">
                  <c:v>1007.1500000000001</c:v>
                </c:pt>
                <c:pt idx="3">
                  <c:v>397.7</c:v>
                </c:pt>
                <c:pt idx="4">
                  <c:v>560.11</c:v>
                </c:pt>
                <c:pt idx="5">
                  <c:v>925</c:v>
                </c:pt>
                <c:pt idx="6">
                  <c:v>647</c:v>
                </c:pt>
                <c:pt idx="7">
                  <c:v>351.06</c:v>
                </c:pt>
                <c:pt idx="8">
                  <c:v>293.73999999999995</c:v>
                </c:pt>
                <c:pt idx="9">
                  <c:v>773.56</c:v>
                </c:pt>
                <c:pt idx="10">
                  <c:v>817.64</c:v>
                </c:pt>
                <c:pt idx="11">
                  <c:v>292.40000000000003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F-48A9-A402-5398917F6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385103"/>
        <c:axId val="2017386351"/>
      </c:barChart>
      <c:catAx>
        <c:axId val="201738510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86351"/>
        <c:crosses val="autoZero"/>
        <c:auto val="1"/>
        <c:lblAlgn val="ctr"/>
        <c:lblOffset val="100"/>
        <c:noMultiLvlLbl val="0"/>
      </c:catAx>
      <c:valAx>
        <c:axId val="201738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8510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165100</xdr:rowOff>
    </xdr:to>
    <xdr:graphicFrame macro="">
      <xdr:nvGraphicFramePr>
        <xdr:cNvPr id="8" name="Chart 7" descr="Chart type: Clustered Bar. 'actual profit' by 'month'&#10;&#10;Description automatically generated">
          <a:extLst>
            <a:ext uri="{FF2B5EF4-FFF2-40B4-BE49-F238E27FC236}">
              <a16:creationId xmlns:a16="http://schemas.microsoft.com/office/drawing/2014/main" id="{0B48450F-1EE6-4F88-A94C-7C489E2F9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kosnik" refreshedDate="44567.71860925926" createdVersion="7" refreshedVersion="7" minRefreshableVersion="3" recordCount="2482" xr:uid="{61881350-EA1B-4805-AB2D-CE9C2EB7143B}">
  <cacheSource type="worksheet">
    <worksheetSource ref="A1:P155" sheet="Input Sheet"/>
  </cacheSource>
  <cacheFields count="16">
    <cacheField name="Income stream" numFmtId="49">
      <sharedItems containsBlank="1" count="6">
        <s v="shoes"/>
        <s v="giveaway"/>
        <s v="f"/>
        <s v="items"/>
        <s v="clothes"/>
        <m/>
      </sharedItems>
    </cacheField>
    <cacheField name="Brand" numFmtId="49">
      <sharedItems containsBlank="1"/>
    </cacheField>
    <cacheField name="Item" numFmtId="0">
      <sharedItems containsBlank="1" containsMixedTypes="1" containsNumber="1" containsInteger="1" minValue="3" maxValue="6"/>
    </cacheField>
    <cacheField name="Size" numFmtId="0">
      <sharedItems containsBlank="1" containsMixedTypes="1" containsNumber="1" minValue="1.5" maxValue="13"/>
    </cacheField>
    <cacheField name="colour" numFmtId="49">
      <sharedItems containsBlank="1"/>
    </cacheField>
    <cacheField name="Purchased" numFmtId="164">
      <sharedItems containsString="0" containsBlank="1" containsNumber="1" minValue="0" maxValue="1050"/>
    </cacheField>
    <cacheField name="Date Purchased" numFmtId="14">
      <sharedItems containsNonDate="0" containsDate="1" containsString="0" containsBlank="1" minDate="2021-01-08T00:00:00" maxDate="2022-01-01T00:00:00"/>
    </cacheField>
    <cacheField name="Sold" numFmtId="166">
      <sharedItems containsString="0" containsBlank="1" containsNumber="1" minValue="45" maxValue="1150"/>
    </cacheField>
    <cacheField name="Date Sold" numFmtId="14">
      <sharedItems containsNonDate="0" containsDate="1" containsString="0" containsBlank="1" minDate="2021-01-20T00:00:00" maxDate="2022-01-01T00:00:00"/>
    </cacheField>
    <cacheField name="month" numFmtId="0">
      <sharedItems containsBlank="1" count="13">
        <s v="Jan"/>
        <s v="Feb"/>
        <s v="Mar"/>
        <s v="Apr"/>
        <s v="May"/>
        <s v="Jun"/>
        <s v="Jul"/>
        <s v="Aug"/>
        <s v="Sept"/>
        <s v="Oct"/>
        <s v="Nov"/>
        <s v="Dec"/>
        <m/>
      </sharedItems>
    </cacheField>
    <cacheField name="estimate sold" numFmtId="44">
      <sharedItems containsString="0" containsBlank="1" containsNumber="1" containsInteger="1" minValue="22" maxValue="700"/>
    </cacheField>
    <cacheField name="sell time" numFmtId="0">
      <sharedItems containsMixedTypes="1" containsNumber="1" containsInteger="1" minValue="-1" maxValue="181"/>
    </cacheField>
    <cacheField name="sale method" numFmtId="0">
      <sharedItems containsBlank="1" count="18">
        <s v="ebay"/>
        <s v="stockx"/>
        <s v="snap"/>
        <s v="goat"/>
        <s v="facebook"/>
        <s v="return"/>
        <s v="consigned goat"/>
        <s v="Whatsapp"/>
        <s v="whatsapp "/>
        <s v="discord"/>
        <s v="trade- off white dunk uk8 +50"/>
        <s v="instagram"/>
        <s v="preorder"/>
        <s v="depop"/>
        <s v="snap (trade- royal highs+preme dunks, for off white pine+michigan dunk+panda gs)"/>
        <m/>
        <s v="klekt"/>
        <s v="person" u="1"/>
      </sharedItems>
    </cacheField>
    <cacheField name="est. profit" numFmtId="44">
      <sharedItems containsSemiMixedTypes="0" containsString="0" containsNumber="1" minValue="-25" maxValue="500"/>
    </cacheField>
    <cacheField name="actual profit" numFmtId="44">
      <sharedItems containsMixedTypes="1" containsNumber="1" minValue="-25" maxValue="500"/>
    </cacheField>
    <cacheField name="ROI" numFmtId="165">
      <sharedItems containsSemiMixedTypes="0" containsString="0" containsNumber="1" minValue="-0.30864197530864196" maxValue="1.066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2">
  <r>
    <x v="0"/>
    <s v="nike"/>
    <s v="react element 55"/>
    <n v="8"/>
    <s v="black white"/>
    <n v="55"/>
    <d v="2021-01-17T00:00:00"/>
    <n v="60"/>
    <d v="2021-01-20T00:00:00"/>
    <x v="0"/>
    <m/>
    <n v="3"/>
    <x v="0"/>
    <n v="5"/>
    <n v="5"/>
    <n v="9.0909090909090912E-2"/>
  </r>
  <r>
    <x v="0"/>
    <s v="nike"/>
    <s v="air max 720"/>
    <n v="8"/>
    <s v="black anthracite"/>
    <n v="65.849999999999994"/>
    <d v="2021-01-17T00:00:00"/>
    <n v="74.2"/>
    <d v="2021-02-05T00:00:00"/>
    <x v="1"/>
    <m/>
    <n v="19"/>
    <x v="1"/>
    <n v="8.3500000000000085"/>
    <n v="8.3500000000000085"/>
    <n v="0.1268033409263479"/>
  </r>
  <r>
    <x v="0"/>
    <s v="jordan"/>
    <s v="1 mid"/>
    <n v="9"/>
    <s v="carbon"/>
    <n v="105"/>
    <d v="2021-02-13T00:00:00"/>
    <n v="140"/>
    <d v="2021-02-14T00:00:00"/>
    <x v="1"/>
    <m/>
    <n v="1"/>
    <x v="2"/>
    <n v="35"/>
    <n v="35"/>
    <n v="0.33333333333333331"/>
  </r>
  <r>
    <x v="0"/>
    <s v="jordan"/>
    <s v="1 mid"/>
    <n v="8"/>
    <s v="chicago toe"/>
    <n v="180"/>
    <d v="2021-01-08T00:00:00"/>
    <n v="190"/>
    <d v="2021-02-19T00:00:00"/>
    <x v="1"/>
    <m/>
    <n v="42"/>
    <x v="3"/>
    <n v="10"/>
    <n v="10"/>
    <n v="5.5555555555555552E-2"/>
  </r>
  <r>
    <x v="0"/>
    <s v="nike"/>
    <s v="dunk low"/>
    <n v="8"/>
    <s v="orange pearl"/>
    <n v="90"/>
    <d v="2021-02-14T00:00:00"/>
    <n v="186"/>
    <d v="2021-02-19T00:00:00"/>
    <x v="1"/>
    <m/>
    <n v="5"/>
    <x v="3"/>
    <n v="96"/>
    <n v="96"/>
    <n v="1.0666666666666667"/>
  </r>
  <r>
    <x v="0"/>
    <s v="jordan"/>
    <s v="4 golf"/>
    <n v="11"/>
    <s v="white cement"/>
    <n v="136"/>
    <d v="2021-02-18T00:00:00"/>
    <n v="178"/>
    <d v="2021-02-19T00:00:00"/>
    <x v="1"/>
    <m/>
    <n v="1"/>
    <x v="3"/>
    <n v="42"/>
    <n v="42"/>
    <n v="0.30882352941176472"/>
  </r>
  <r>
    <x v="0"/>
    <s v="jordan"/>
    <s v="1 mid"/>
    <n v="11.5"/>
    <s v="signal blue"/>
    <n v="104.95"/>
    <d v="2021-02-12T00:00:00"/>
    <n v="105"/>
    <d v="2021-02-22T00:00:00"/>
    <x v="1"/>
    <m/>
    <n v="10"/>
    <x v="3"/>
    <n v="4.9999999999997158E-2"/>
    <n v="4.9999999999997158E-2"/>
    <n v="4.7641734159120685E-4"/>
  </r>
  <r>
    <x v="0"/>
    <s v="jordan"/>
    <s v="1 mid"/>
    <n v="7.5"/>
    <s v="canyon rust"/>
    <n v="100"/>
    <d v="2021-02-18T00:00:00"/>
    <n v="113"/>
    <d v="2021-02-27T00:00:00"/>
    <x v="1"/>
    <m/>
    <n v="9"/>
    <x v="3"/>
    <n v="13"/>
    <n v="13"/>
    <n v="0.13"/>
  </r>
  <r>
    <x v="1"/>
    <s v="jordan"/>
    <s v="1 mid"/>
    <n v="4.5"/>
    <s v="black white"/>
    <n v="0"/>
    <d v="2021-02-16T00:00:00"/>
    <n v="88"/>
    <d v="2021-02-28T00:00:00"/>
    <x v="1"/>
    <m/>
    <n v="12"/>
    <x v="3"/>
    <n v="88"/>
    <n v="88"/>
    <n v="0"/>
  </r>
  <r>
    <x v="2"/>
    <s v="shark"/>
    <s v="big hoover"/>
    <s v="-"/>
    <s v="rose gold"/>
    <n v="0"/>
    <d v="2021-02-27T00:00:00"/>
    <n v="165"/>
    <d v="2021-03-03T00:00:00"/>
    <x v="2"/>
    <m/>
    <n v="4"/>
    <x v="0"/>
    <n v="165"/>
    <n v="165"/>
    <n v="0"/>
  </r>
  <r>
    <x v="2"/>
    <s v="shark"/>
    <s v="big hoover"/>
    <s v="-"/>
    <s v="rose gold"/>
    <n v="0"/>
    <d v="2021-02-27T00:00:00"/>
    <n v="210"/>
    <d v="2021-03-03T00:00:00"/>
    <x v="2"/>
    <m/>
    <n v="4"/>
    <x v="0"/>
    <n v="210"/>
    <n v="210"/>
    <n v="0"/>
  </r>
  <r>
    <x v="2"/>
    <s v="balenciaga"/>
    <s v="track"/>
    <n v="11"/>
    <s v="blue red"/>
    <n v="0"/>
    <d v="2021-03-12T00:00:00"/>
    <n v="442.64"/>
    <d v="2021-03-30T00:00:00"/>
    <x v="2"/>
    <m/>
    <n v="18"/>
    <x v="1"/>
    <n v="442.64"/>
    <n v="442.64"/>
    <n v="0"/>
  </r>
  <r>
    <x v="2"/>
    <s v="balenciaga"/>
    <s v="track"/>
    <n v="9"/>
    <s v="blue red"/>
    <n v="0"/>
    <d v="2021-03-12T00:00:00"/>
    <n v="488"/>
    <d v="2021-04-09T00:00:00"/>
    <x v="3"/>
    <m/>
    <n v="28"/>
    <x v="3"/>
    <n v="488"/>
    <n v="488"/>
    <n v="0"/>
  </r>
  <r>
    <x v="0"/>
    <s v="jordan"/>
    <s v="jordan 3"/>
    <n v="4.5"/>
    <s v="georgetown"/>
    <n v="90"/>
    <d v="2021-03-28T00:00:00"/>
    <n v="98"/>
    <d v="2021-04-11T00:00:00"/>
    <x v="3"/>
    <m/>
    <n v="14"/>
    <x v="3"/>
    <n v="8"/>
    <n v="8"/>
    <n v="8.8888888888888892E-2"/>
  </r>
  <r>
    <x v="0"/>
    <s v="nike"/>
    <s v="air force"/>
    <n v="6"/>
    <s v="rose"/>
    <n v="85.5"/>
    <d v="2021-04-08T00:00:00"/>
    <n v="104"/>
    <d v="2021-04-12T00:00:00"/>
    <x v="3"/>
    <m/>
    <n v="4"/>
    <x v="3"/>
    <n v="18.5"/>
    <n v="18.5"/>
    <n v="0.21637426900584794"/>
  </r>
  <r>
    <x v="3"/>
    <s v="argos"/>
    <s v="dumbell and barbell set 25kg"/>
    <s v="-"/>
    <s v="metal"/>
    <n v="35"/>
    <d v="2021-04-05T00:00:00"/>
    <n v="45"/>
    <d v="2021-04-17T00:00:00"/>
    <x v="3"/>
    <m/>
    <n v="12"/>
    <x v="4"/>
    <n v="10"/>
    <n v="10"/>
    <n v="0.2857142857142857"/>
  </r>
  <r>
    <x v="3"/>
    <s v="argos"/>
    <s v="opti z curl 17kg"/>
    <s v="-"/>
    <s v="metal"/>
    <n v="25"/>
    <d v="2021-04-05T00:00:00"/>
    <n v="45"/>
    <d v="2021-04-17T00:00:00"/>
    <x v="3"/>
    <m/>
    <n v="12"/>
    <x v="4"/>
    <n v="20"/>
    <n v="20"/>
    <n v="0.8"/>
  </r>
  <r>
    <x v="0"/>
    <s v="jordan"/>
    <s v="1 mid"/>
    <n v="4"/>
    <s v="metallic red"/>
    <n v="57.95"/>
    <d v="2021-04-16T00:00:00"/>
    <n v="80"/>
    <d v="2021-04-18T00:00:00"/>
    <x v="3"/>
    <m/>
    <n v="2"/>
    <x v="2"/>
    <n v="22.049999999999997"/>
    <n v="22.049999999999997"/>
    <n v="0.38050043140638473"/>
  </r>
  <r>
    <x v="0"/>
    <s v="nike"/>
    <s v="skepta tailwind"/>
    <n v="10"/>
    <s v="chrome"/>
    <n v="165"/>
    <d v="2021-04-01T00:00:00"/>
    <n v="160"/>
    <d v="2021-04-22T00:00:00"/>
    <x v="3"/>
    <m/>
    <n v="21"/>
    <x v="3"/>
    <n v="-5"/>
    <n v="-5"/>
    <n v="-3.0303030303030304E-2"/>
  </r>
  <r>
    <x v="2"/>
    <s v="shark"/>
    <s v="small hoover"/>
    <s v="-"/>
    <s v="purple"/>
    <n v="0"/>
    <d v="2021-03-29T00:00:00"/>
    <n v="185"/>
    <d v="2021-04-28T00:00:00"/>
    <x v="3"/>
    <m/>
    <n v="30"/>
    <x v="0"/>
    <n v="185"/>
    <n v="185"/>
    <n v="0"/>
  </r>
  <r>
    <x v="0"/>
    <s v="converse"/>
    <s v="star hike"/>
    <n v="5"/>
    <s v="valentine"/>
    <n v="62.99"/>
    <d v="2021-04-25T00:00:00"/>
    <n v="90"/>
    <d v="2021-04-28T00:00:00"/>
    <x v="3"/>
    <m/>
    <n v="3"/>
    <x v="3"/>
    <n v="27.009999999999998"/>
    <n v="27.009999999999998"/>
    <n v="0.42879822193999045"/>
  </r>
  <r>
    <x v="0"/>
    <s v="nike"/>
    <s v="air force"/>
    <n v="5"/>
    <s v="shadow solar"/>
    <n v="85.45"/>
    <d v="2021-04-01T00:00:00"/>
    <n v="85.45"/>
    <d v="2021-04-30T00:00:00"/>
    <x v="3"/>
    <m/>
    <n v="29"/>
    <x v="5"/>
    <n v="0"/>
    <n v="0"/>
    <n v="0"/>
  </r>
  <r>
    <x v="0"/>
    <s v="nike"/>
    <s v="air max 95"/>
    <n v="2.5"/>
    <s v="silver"/>
    <n v="74.38"/>
    <d v="2021-04-09T00:00:00"/>
    <n v="74.38"/>
    <d v="2021-04-30T00:00:00"/>
    <x v="3"/>
    <m/>
    <n v="21"/>
    <x v="5"/>
    <n v="0"/>
    <n v="0"/>
    <n v="0"/>
  </r>
  <r>
    <x v="0"/>
    <s v="nike"/>
    <s v="air max 95"/>
    <n v="4"/>
    <s v="silver"/>
    <n v="74.38"/>
    <d v="2021-04-09T00:00:00"/>
    <n v="74.38"/>
    <d v="2021-04-30T00:00:00"/>
    <x v="3"/>
    <m/>
    <n v="21"/>
    <x v="5"/>
    <n v="0"/>
    <n v="0"/>
    <n v="0"/>
  </r>
  <r>
    <x v="0"/>
    <s v="jordan"/>
    <s v="1 mid"/>
    <n v="8.5"/>
    <s v="gym red"/>
    <n v="99.95"/>
    <d v="2021-04-22T00:00:00"/>
    <n v="99.95"/>
    <d v="2021-04-30T00:00:00"/>
    <x v="3"/>
    <m/>
    <n v="8"/>
    <x v="5"/>
    <n v="0"/>
    <n v="0"/>
    <n v="0"/>
  </r>
  <r>
    <x v="0"/>
    <s v="jordan"/>
    <s v="1 mid"/>
    <n v="9"/>
    <s v="gym red"/>
    <n v="99.95"/>
    <d v="2021-04-22T00:00:00"/>
    <n v="99.95"/>
    <d v="2021-04-30T00:00:00"/>
    <x v="3"/>
    <m/>
    <n v="8"/>
    <x v="5"/>
    <n v="0"/>
    <n v="0"/>
    <n v="0"/>
  </r>
  <r>
    <x v="2"/>
    <s v="shark"/>
    <s v="small hoover"/>
    <s v="-"/>
    <s v="purple"/>
    <n v="0"/>
    <d v="2021-03-29T00:00:00"/>
    <n v="180"/>
    <d v="2021-05-01T00:00:00"/>
    <x v="4"/>
    <m/>
    <n v="33"/>
    <x v="0"/>
    <n v="180"/>
    <n v="180"/>
    <n v="0"/>
  </r>
  <r>
    <x v="0"/>
    <s v="converse"/>
    <s v="star hike"/>
    <n v="4.5"/>
    <s v="valentine"/>
    <n v="62.99"/>
    <d v="2021-04-25T00:00:00"/>
    <n v="67.69"/>
    <d v="2021-05-02T00:00:00"/>
    <x v="4"/>
    <m/>
    <n v="7"/>
    <x v="1"/>
    <n v="4.6999999999999957"/>
    <n v="4.6999999999999957"/>
    <n v="7.4615018256866103E-2"/>
  </r>
  <r>
    <x v="0"/>
    <s v="jordan"/>
    <n v="3"/>
    <n v="4.5"/>
    <s v="georgetown"/>
    <n v="90"/>
    <d v="2021-03-28T00:00:00"/>
    <n v="93"/>
    <d v="2021-05-04T00:00:00"/>
    <x v="4"/>
    <m/>
    <n v="37"/>
    <x v="3"/>
    <n v="3"/>
    <n v="3"/>
    <n v="3.3333333333333333E-2"/>
  </r>
  <r>
    <x v="0"/>
    <s v="jordan"/>
    <s v="1 low"/>
    <n v="8"/>
    <s v="arctic punch"/>
    <n v="89.99"/>
    <d v="2021-04-18T00:00:00"/>
    <n v="93"/>
    <d v="2021-05-04T00:00:00"/>
    <x v="4"/>
    <m/>
    <n v="16"/>
    <x v="3"/>
    <n v="3.0100000000000051"/>
    <n v="3.0100000000000051"/>
    <n v="3.3448160906767478E-2"/>
  </r>
  <r>
    <x v="0"/>
    <s v="jordan"/>
    <n v="5"/>
    <n v="7.5"/>
    <s v="raging bull"/>
    <n v="148.49"/>
    <d v="2021-05-02T00:00:00"/>
    <n v="169"/>
    <d v="2021-05-04T00:00:00"/>
    <x v="4"/>
    <m/>
    <n v="2"/>
    <x v="3"/>
    <n v="20.509999999999991"/>
    <n v="20.509999999999991"/>
    <n v="0.13812377937908268"/>
  </r>
  <r>
    <x v="0"/>
    <s v="jordan"/>
    <s v="11 low"/>
    <n v="7.5"/>
    <s v="legend blue"/>
    <n v="143.99"/>
    <d v="2021-05-03T00:00:00"/>
    <n v="159"/>
    <d v="2021-05-04T00:00:00"/>
    <x v="4"/>
    <m/>
    <n v="1"/>
    <x v="3"/>
    <n v="15.009999999999991"/>
    <n v="15.009999999999991"/>
    <n v="0.10424335023265498"/>
  </r>
  <r>
    <x v="0"/>
    <s v="jordan"/>
    <s v="1 low"/>
    <n v="4"/>
    <s v="barely green"/>
    <n v="109.49"/>
    <d v="2021-04-12T00:00:00"/>
    <n v="90"/>
    <d v="2021-05-05T00:00:00"/>
    <x v="4"/>
    <m/>
    <n v="23"/>
    <x v="6"/>
    <n v="-19.489999999999995"/>
    <n v="-19.489999999999995"/>
    <n v="-0.17800712393825915"/>
  </r>
  <r>
    <x v="0"/>
    <s v="nike"/>
    <s v="air force"/>
    <n v="7"/>
    <s v="viotech"/>
    <n v="81"/>
    <d v="2021-03-31T00:00:00"/>
    <n v="86"/>
    <d v="2021-05-14T00:00:00"/>
    <x v="4"/>
    <m/>
    <n v="44"/>
    <x v="3"/>
    <n v="5"/>
    <n v="5"/>
    <n v="6.1728395061728392E-2"/>
  </r>
  <r>
    <x v="0"/>
    <s v="jordan"/>
    <s v="1 low"/>
    <n v="10.5"/>
    <s v="to my first coach"/>
    <n v="115"/>
    <d v="2021-05-05T00:00:00"/>
    <n v="125"/>
    <d v="2021-05-16T00:00:00"/>
    <x v="4"/>
    <m/>
    <n v="11"/>
    <x v="3"/>
    <n v="10"/>
    <n v="10"/>
    <n v="8.6956521739130432E-2"/>
  </r>
  <r>
    <x v="0"/>
    <s v="jordan"/>
    <s v="1 low"/>
    <m/>
    <s v="white camo"/>
    <n v="85"/>
    <d v="2021-04-29T00:00:00"/>
    <n v="120"/>
    <d v="2021-05-19T00:00:00"/>
    <x v="4"/>
    <m/>
    <n v="20"/>
    <x v="0"/>
    <n v="35"/>
    <n v="35"/>
    <n v="0.41176470588235292"/>
  </r>
  <r>
    <x v="0"/>
    <s v="kyrie"/>
    <s v="kyrie 7"/>
    <n v="12"/>
    <s v="horus"/>
    <n v="115"/>
    <d v="2021-05-19T00:00:00"/>
    <n v="136"/>
    <d v="2021-05-20T00:00:00"/>
    <x v="4"/>
    <m/>
    <n v="1"/>
    <x v="3"/>
    <n v="21"/>
    <n v="21"/>
    <n v="0.18260869565217391"/>
  </r>
  <r>
    <x v="0"/>
    <s v="jordan"/>
    <s v="1 mid"/>
    <n v="7.5"/>
    <s v="purple pulse"/>
    <n v="105"/>
    <d v="2021-04-24T00:00:00"/>
    <n v="110"/>
    <d v="2021-05-28T00:00:00"/>
    <x v="4"/>
    <m/>
    <n v="34"/>
    <x v="3"/>
    <n v="5"/>
    <n v="5"/>
    <n v="4.7619047619047616E-2"/>
  </r>
  <r>
    <x v="0"/>
    <s v="nike"/>
    <s v="dunk low"/>
    <n v="8"/>
    <s v="free 99"/>
    <n v="95"/>
    <d v="2021-05-25T00:00:00"/>
    <n v="106"/>
    <d v="2021-05-29T00:00:00"/>
    <x v="4"/>
    <m/>
    <n v="4"/>
    <x v="3"/>
    <n v="11"/>
    <n v="11"/>
    <n v="0.11578947368421053"/>
  </r>
  <r>
    <x v="0"/>
    <s v="nike"/>
    <s v="dunk high"/>
    <n v="4.5"/>
    <s v="panda"/>
    <n v="63"/>
    <d v="2021-05-28T00:00:00"/>
    <n v="108"/>
    <d v="2021-06-05T00:00:00"/>
    <x v="5"/>
    <m/>
    <n v="8"/>
    <x v="0"/>
    <n v="45"/>
    <n v="45"/>
    <n v="0.7142857142857143"/>
  </r>
  <r>
    <x v="0"/>
    <s v="nike"/>
    <s v="dunk high"/>
    <n v="9"/>
    <s v="fragment"/>
    <n v="135"/>
    <d v="2021-06-05T00:00:00"/>
    <n v="166"/>
    <d v="2021-06-06T00:00:00"/>
    <x v="5"/>
    <m/>
    <n v="1"/>
    <x v="3"/>
    <n v="31"/>
    <n v="31"/>
    <n v="0.22962962962962963"/>
  </r>
  <r>
    <x v="3"/>
    <s v="aldi"/>
    <s v="shed"/>
    <s v="-"/>
    <s v="keter manor garden shed"/>
    <n v="189.94"/>
    <d v="2021-04-14T00:00:00"/>
    <n v="250"/>
    <d v="2021-06-07T00:00:00"/>
    <x v="5"/>
    <m/>
    <n v="54"/>
    <x v="0"/>
    <n v="60.06"/>
    <n v="60.06"/>
    <n v="0.31620511740549651"/>
  </r>
  <r>
    <x v="2"/>
    <s v="nike"/>
    <s v="tech fleece"/>
    <s v="L"/>
    <s v="chlorine"/>
    <n v="0"/>
    <d v="2021-05-15T00:00:00"/>
    <n v="150"/>
    <d v="2021-06-07T00:00:00"/>
    <x v="5"/>
    <m/>
    <n v="23"/>
    <x v="2"/>
    <n v="150"/>
    <n v="150"/>
    <n v="0"/>
  </r>
  <r>
    <x v="0"/>
    <s v="nike"/>
    <s v="dunk high"/>
    <n v="1.5"/>
    <s v="tiffany"/>
    <n v="53"/>
    <d v="2021-05-28T00:00:00"/>
    <n v="70"/>
    <d v="2021-06-08T00:00:00"/>
    <x v="5"/>
    <m/>
    <n v="11"/>
    <x v="7"/>
    <n v="17"/>
    <n v="17"/>
    <n v="0.32075471698113206"/>
  </r>
  <r>
    <x v="3"/>
    <s v="beer hawk"/>
    <s v="beer machine"/>
    <s v="-"/>
    <s v="philips perfect draft machine"/>
    <n v="249"/>
    <d v="2021-04-23T00:00:00"/>
    <n v="260"/>
    <d v="2021-06-13T00:00:00"/>
    <x v="5"/>
    <m/>
    <n v="51"/>
    <x v="0"/>
    <n v="11"/>
    <n v="11"/>
    <n v="4.4176706827309238E-2"/>
  </r>
  <r>
    <x v="0"/>
    <s v="jordan"/>
    <n v="6"/>
    <n v="8.5"/>
    <s v="electric green"/>
    <n v="165"/>
    <d v="2021-06-09T00:00:00"/>
    <n v="180"/>
    <d v="2021-06-14T00:00:00"/>
    <x v="5"/>
    <m/>
    <n v="5"/>
    <x v="2"/>
    <n v="15"/>
    <n v="15"/>
    <n v="9.0909090909090912E-2"/>
  </r>
  <r>
    <x v="0"/>
    <s v="adidas"/>
    <s v="yeezy 350"/>
    <n v="12"/>
    <s v="mono mist"/>
    <n v="185"/>
    <d v="2021-06-18T00:00:00"/>
    <n v="185"/>
    <d v="2021-06-19T00:00:00"/>
    <x v="5"/>
    <m/>
    <n v="1"/>
    <x v="3"/>
    <n v="0"/>
    <n v="0"/>
    <n v="0"/>
  </r>
  <r>
    <x v="0"/>
    <s v="adidas"/>
    <s v="yeezy 350"/>
    <n v="13"/>
    <s v="mono mist"/>
    <n v="180"/>
    <d v="2021-06-18T00:00:00"/>
    <n v="180"/>
    <d v="2021-06-24T00:00:00"/>
    <x v="5"/>
    <m/>
    <n v="6"/>
    <x v="3"/>
    <n v="0"/>
    <n v="0"/>
    <n v="0"/>
  </r>
  <r>
    <x v="0"/>
    <s v="supreme"/>
    <s v="vans era"/>
    <n v="9.5"/>
    <s v="monogram"/>
    <n v="93"/>
    <d v="2021-06-18T00:00:00"/>
    <n v="95"/>
    <d v="2021-06-24T00:00:00"/>
    <x v="5"/>
    <m/>
    <n v="6"/>
    <x v="3"/>
    <n v="2"/>
    <n v="2"/>
    <n v="2.1505376344086023E-2"/>
  </r>
  <r>
    <x v="0"/>
    <s v="nike"/>
    <s v="dunk high"/>
    <n v="2"/>
    <s v="panda"/>
    <n v="53"/>
    <d v="2021-05-28T00:00:00"/>
    <n v="53"/>
    <d v="2021-06-26T00:00:00"/>
    <x v="5"/>
    <m/>
    <n v="29"/>
    <x v="5"/>
    <n v="0"/>
    <n v="0"/>
    <n v="0"/>
  </r>
  <r>
    <x v="0"/>
    <s v="nike"/>
    <s v="dunk high"/>
    <n v="2"/>
    <s v="panda"/>
    <n v="53"/>
    <d v="2021-05-28T00:00:00"/>
    <n v="53"/>
    <d v="2021-06-26T00:00:00"/>
    <x v="5"/>
    <m/>
    <n v="29"/>
    <x v="5"/>
    <n v="0"/>
    <n v="0"/>
    <n v="0"/>
  </r>
  <r>
    <x v="0"/>
    <s v="nike"/>
    <s v="dunk high"/>
    <n v="2"/>
    <s v="panda"/>
    <n v="53"/>
    <d v="2021-05-28T00:00:00"/>
    <n v="53"/>
    <d v="2021-06-26T00:00:00"/>
    <x v="5"/>
    <m/>
    <n v="29"/>
    <x v="5"/>
    <n v="0"/>
    <n v="0"/>
    <n v="0"/>
  </r>
  <r>
    <x v="4"/>
    <s v="supreme"/>
    <s v="bogo"/>
    <s v="M"/>
    <s v="kaws"/>
    <n v="43"/>
    <d v="2021-06-24T00:00:00"/>
    <n v="63"/>
    <d v="2021-06-27T00:00:00"/>
    <x v="5"/>
    <m/>
    <n v="3"/>
    <x v="1"/>
    <n v="20"/>
    <n v="20"/>
    <n v="0.46511627906976744"/>
  </r>
  <r>
    <x v="3"/>
    <s v="JTF"/>
    <s v="bestway steel pro max 10ft"/>
    <s v="-"/>
    <s v="steel"/>
    <n v="110"/>
    <d v="2021-04-09T00:00:00"/>
    <n v="160"/>
    <d v="2021-07-05T00:00:00"/>
    <x v="6"/>
    <m/>
    <n v="87"/>
    <x v="4"/>
    <n v="50"/>
    <n v="50"/>
    <n v="0.45454545454545453"/>
  </r>
  <r>
    <x v="4"/>
    <s v="supreme"/>
    <s v="milano"/>
    <s v="XL"/>
    <s v="white"/>
    <n v="43"/>
    <d v="2021-06-24T00:00:00"/>
    <n v="46"/>
    <d v="2021-07-06T00:00:00"/>
    <x v="6"/>
    <m/>
    <n v="12"/>
    <x v="1"/>
    <n v="3"/>
    <n v="3"/>
    <n v="6.9767441860465115E-2"/>
  </r>
  <r>
    <x v="0"/>
    <s v="nike"/>
    <s v="air force"/>
    <n v="7"/>
    <s v="viotech"/>
    <n v="81"/>
    <d v="2021-03-31T00:00:00"/>
    <n v="56"/>
    <d v="2021-07-07T00:00:00"/>
    <x v="6"/>
    <m/>
    <n v="98"/>
    <x v="1"/>
    <n v="-25"/>
    <n v="-25"/>
    <n v="-0.30864197530864196"/>
  </r>
  <r>
    <x v="0"/>
    <s v="supreme"/>
    <s v="air force"/>
    <n v="9.5"/>
    <s v="black"/>
    <n v="100"/>
    <d v="2021-06-30T00:00:00"/>
    <n v="120"/>
    <d v="2021-07-09T00:00:00"/>
    <x v="6"/>
    <m/>
    <n v="9"/>
    <x v="2"/>
    <n v="20"/>
    <n v="20"/>
    <n v="0.2"/>
  </r>
  <r>
    <x v="0"/>
    <s v="jordan"/>
    <n v="6"/>
    <n v="11"/>
    <s v="washed denim"/>
    <n v="122"/>
    <d v="2021-06-28T00:00:00"/>
    <n v="138"/>
    <d v="2021-07-10T00:00:00"/>
    <x v="6"/>
    <m/>
    <n v="12"/>
    <x v="3"/>
    <n v="16"/>
    <n v="16"/>
    <n v="0.13114754098360656"/>
  </r>
  <r>
    <x v="4"/>
    <s v="supreme"/>
    <s v="snake"/>
    <s v="M"/>
    <s v="grey"/>
    <n v="43"/>
    <d v="2021-06-24T00:00:00"/>
    <n v="48"/>
    <d v="2021-07-16T00:00:00"/>
    <x v="6"/>
    <m/>
    <n v="22"/>
    <x v="1"/>
    <n v="5"/>
    <n v="5"/>
    <n v="0.11627906976744186"/>
  </r>
  <r>
    <x v="3"/>
    <s v="studio"/>
    <s v="beer machine"/>
    <m/>
    <s v="electric 5 litre beer dispenser"/>
    <n v="72"/>
    <d v="2021-05-26T00:00:00"/>
    <n v="140"/>
    <d v="2021-07-17T00:00:00"/>
    <x v="6"/>
    <m/>
    <n v="52"/>
    <x v="4"/>
    <n v="68"/>
    <n v="68"/>
    <n v="0.94444444444444442"/>
  </r>
  <r>
    <x v="3"/>
    <s v="sony"/>
    <s v="ps5"/>
    <m/>
    <s v="digital"/>
    <n v="409"/>
    <d v="2021-07-07T00:00:00"/>
    <n v="490"/>
    <d v="2021-07-18T00:00:00"/>
    <x v="6"/>
    <m/>
    <n v="11"/>
    <x v="2"/>
    <n v="81"/>
    <n v="81"/>
    <n v="0.1980440097799511"/>
  </r>
  <r>
    <x v="0"/>
    <s v="adidas"/>
    <s v="yeezy 350"/>
    <n v="4"/>
    <s v="mono mist"/>
    <n v="185"/>
    <d v="2021-06-18T00:00:00"/>
    <n v="185"/>
    <d v="2021-07-22T00:00:00"/>
    <x v="6"/>
    <m/>
    <n v="34"/>
    <x v="5"/>
    <n v="0"/>
    <n v="0"/>
    <n v="0"/>
  </r>
  <r>
    <x v="0"/>
    <s v="jordan"/>
    <s v="1 low"/>
    <n v="4.5"/>
    <s v="shadow"/>
    <n v="55"/>
    <d v="2021-07-06T00:00:00"/>
    <n v="70"/>
    <d v="2021-07-26T00:00:00"/>
    <x v="6"/>
    <m/>
    <n v="20"/>
    <x v="1"/>
    <n v="15"/>
    <n v="15"/>
    <n v="0.27272727272727271"/>
  </r>
  <r>
    <x v="0"/>
    <s v="jordan"/>
    <s v="1 high"/>
    <n v="4.5"/>
    <s v="silver toe"/>
    <n v="120"/>
    <d v="2021-07-24T00:00:00"/>
    <n v="140"/>
    <d v="2021-07-26T00:00:00"/>
    <x v="6"/>
    <m/>
    <n v="2"/>
    <x v="3"/>
    <n v="20"/>
    <n v="20"/>
    <n v="0.16666666666666666"/>
  </r>
  <r>
    <x v="2"/>
    <s v="jordan"/>
    <s v="6 travis"/>
    <n v="8.5"/>
    <s v="british khaki"/>
    <n v="0"/>
    <d v="2021-04-30T00:00:00"/>
    <n v="330"/>
    <d v="2021-07-27T00:00:00"/>
    <x v="6"/>
    <m/>
    <n v="88"/>
    <x v="3"/>
    <n v="330"/>
    <n v="330"/>
    <n v="0"/>
  </r>
  <r>
    <x v="0"/>
    <s v="nike"/>
    <s v="dunk disrupt"/>
    <n v="5"/>
    <s v="black gum"/>
    <n v="50"/>
    <d v="2021-07-24T00:00:00"/>
    <n v="64"/>
    <d v="2021-07-27T00:00:00"/>
    <x v="6"/>
    <m/>
    <n v="3"/>
    <x v="3"/>
    <n v="14"/>
    <n v="14"/>
    <n v="0.28000000000000003"/>
  </r>
  <r>
    <x v="0"/>
    <s v="nike"/>
    <s v="dunk - custom"/>
    <n v="8"/>
    <s v="grey suede"/>
    <n v="105"/>
    <d v="2021-05-20T00:00:00"/>
    <n v="105"/>
    <d v="2021-07-28T00:00:00"/>
    <x v="6"/>
    <m/>
    <n v="69"/>
    <x v="5"/>
    <n v="0"/>
    <n v="0"/>
    <n v="0"/>
  </r>
  <r>
    <x v="0"/>
    <s v="nike"/>
    <s v="dunk - custom"/>
    <n v="4"/>
    <s v="court purple"/>
    <n v="105"/>
    <d v="2021-05-20T00:00:00"/>
    <n v="105"/>
    <d v="2021-07-28T00:00:00"/>
    <x v="6"/>
    <m/>
    <n v="69"/>
    <x v="5"/>
    <n v="0"/>
    <n v="0"/>
    <n v="0"/>
  </r>
  <r>
    <x v="0"/>
    <s v="jordan"/>
    <s v="1 mid"/>
    <n v="8"/>
    <s v="wolf grey"/>
    <n v="110"/>
    <d v="2021-07-15T00:00:00"/>
    <n v="130"/>
    <d v="2021-07-28T00:00:00"/>
    <x v="6"/>
    <m/>
    <n v="13"/>
    <x v="7"/>
    <n v="20"/>
    <n v="20"/>
    <n v="0.18181818181818182"/>
  </r>
  <r>
    <x v="0"/>
    <s v="jordan"/>
    <s v="1 mid"/>
    <n v="7.5"/>
    <s v="wolf grey"/>
    <n v="110"/>
    <d v="2021-07-15T00:00:00"/>
    <n v="140"/>
    <d v="2021-07-29T00:00:00"/>
    <x v="6"/>
    <m/>
    <n v="14"/>
    <x v="1"/>
    <n v="30"/>
    <n v="30"/>
    <n v="0.27272727272727271"/>
  </r>
  <r>
    <x v="0"/>
    <s v="jordan"/>
    <s v="1 high"/>
    <n v="6.5"/>
    <s v="metallic gold"/>
    <n v="125"/>
    <d v="2021-04-20T00:00:00"/>
    <n v="125"/>
    <d v="2021-08-06T00:00:00"/>
    <x v="7"/>
    <m/>
    <n v="108"/>
    <x v="7"/>
    <n v="0"/>
    <n v="0"/>
    <n v="0"/>
  </r>
  <r>
    <x v="1"/>
    <s v="off white"/>
    <s v="x jordan hoodie"/>
    <s v="M"/>
    <s v="black"/>
    <n v="0"/>
    <d v="2021-07-02T00:00:00"/>
    <n v="320"/>
    <d v="2021-08-08T00:00:00"/>
    <x v="7"/>
    <m/>
    <n v="37"/>
    <x v="0"/>
    <n v="320"/>
    <n v="320"/>
    <n v="0"/>
  </r>
  <r>
    <x v="0"/>
    <s v="adidas"/>
    <s v="yeezy 700"/>
    <n v="11.5"/>
    <s v="clay brown"/>
    <n v="170"/>
    <d v="2021-08-03T00:00:00"/>
    <n v="175"/>
    <d v="2021-08-08T00:00:00"/>
    <x v="7"/>
    <m/>
    <n v="5"/>
    <x v="3"/>
    <n v="5"/>
    <n v="5"/>
    <n v="2.9411764705882353E-2"/>
  </r>
  <r>
    <x v="2"/>
    <s v="sony"/>
    <s v="ps5"/>
    <m/>
    <s v="disc"/>
    <n v="0"/>
    <d v="2021-06-09T00:00:00"/>
    <n v="500"/>
    <d v="2021-08-09T00:00:00"/>
    <x v="7"/>
    <m/>
    <n v="61"/>
    <x v="7"/>
    <n v="500"/>
    <n v="500"/>
    <n v="0"/>
  </r>
  <r>
    <x v="0"/>
    <s v="jordan"/>
    <n v="4"/>
    <n v="8"/>
    <s v="lightning"/>
    <n v="170"/>
    <d v="2021-08-08T00:00:00"/>
    <n v="220"/>
    <d v="2021-08-09T00:00:00"/>
    <x v="7"/>
    <m/>
    <n v="1"/>
    <x v="0"/>
    <n v="50"/>
    <n v="50"/>
    <n v="0.29411764705882354"/>
  </r>
  <r>
    <x v="0"/>
    <s v="jordan"/>
    <n v="4"/>
    <n v="7.5"/>
    <s v="oreo"/>
    <n v="240"/>
    <d v="2021-07-18T00:00:00"/>
    <n v="290"/>
    <d v="2021-08-15T00:00:00"/>
    <x v="7"/>
    <m/>
    <n v="28"/>
    <x v="0"/>
    <n v="50"/>
    <n v="50"/>
    <n v="0.20833333333333334"/>
  </r>
  <r>
    <x v="0"/>
    <s v="nike"/>
    <s v="dunk low"/>
    <n v="4"/>
    <s v="uni blue"/>
    <n v="128"/>
    <d v="2021-08-16T00:00:00"/>
    <n v="200"/>
    <d v="2021-09-01T00:00:00"/>
    <x v="8"/>
    <m/>
    <n v="16"/>
    <x v="8"/>
    <n v="72"/>
    <n v="72"/>
    <n v="0.5625"/>
  </r>
  <r>
    <x v="0"/>
    <s v="adidas"/>
    <s v="human race NMD"/>
    <n v="9.5"/>
    <s v="black"/>
    <n v="120"/>
    <d v="2021-08-17T00:00:00"/>
    <n v="180"/>
    <d v="2021-09-01T00:00:00"/>
    <x v="8"/>
    <m/>
    <n v="15"/>
    <x v="3"/>
    <n v="60"/>
    <n v="60"/>
    <n v="0.5"/>
  </r>
  <r>
    <x v="4"/>
    <s v="supreme"/>
    <s v="shrek tee"/>
    <s v="S"/>
    <s v="black"/>
    <n v="51"/>
    <d v="2021-08-19T00:00:00"/>
    <n v="51"/>
    <d v="2021-09-01T00:00:00"/>
    <x v="8"/>
    <m/>
    <n v="13"/>
    <x v="7"/>
    <n v="0"/>
    <n v="0"/>
    <n v="0"/>
  </r>
  <r>
    <x v="4"/>
    <s v="supreme"/>
    <s v="rick rubin tee"/>
    <s v="M"/>
    <s v="white"/>
    <n v="51"/>
    <d v="2021-08-19T00:00:00"/>
    <n v="51"/>
    <d v="2021-09-02T00:00:00"/>
    <x v="8"/>
    <m/>
    <n v="14"/>
    <x v="1"/>
    <n v="0"/>
    <n v="0"/>
    <n v="0"/>
  </r>
  <r>
    <x v="0"/>
    <s v="jordan"/>
    <s v="1 mid"/>
    <n v="11"/>
    <s v="chicago toe"/>
    <n v="157.5"/>
    <d v="2021-08-24T00:00:00"/>
    <n v="200"/>
    <d v="2021-09-04T00:00:00"/>
    <x v="8"/>
    <m/>
    <n v="11"/>
    <x v="0"/>
    <n v="42.5"/>
    <n v="42.5"/>
    <n v="0.26984126984126983"/>
  </r>
  <r>
    <x v="0"/>
    <s v="jordan"/>
    <n v="4"/>
    <n v="7"/>
    <s v="shimmer"/>
    <n v="170"/>
    <d v="2021-09-03T00:00:00"/>
    <n v="225"/>
    <d v="2021-09-05T00:00:00"/>
    <x v="8"/>
    <m/>
    <n v="2"/>
    <x v="9"/>
    <n v="55"/>
    <n v="55"/>
    <n v="0.3235294117647059"/>
  </r>
  <r>
    <x v="0"/>
    <s v="jordan"/>
    <s v="1 high travis fragment"/>
    <m/>
    <s v="blue"/>
    <n v="1050"/>
    <d v="2021-07-29T00:00:00"/>
    <n v="1150"/>
    <d v="2021-09-06T00:00:00"/>
    <x v="8"/>
    <m/>
    <n v="39"/>
    <x v="9"/>
    <n v="100"/>
    <n v="100"/>
    <n v="9.5238095238095233E-2"/>
  </r>
  <r>
    <x v="0"/>
    <s v="jordan"/>
    <s v="1 high"/>
    <n v="8"/>
    <s v="uni blue"/>
    <n v="265.5"/>
    <d v="2021-08-10T00:00:00"/>
    <n v="265.5"/>
    <d v="2021-09-07T00:00:00"/>
    <x v="8"/>
    <m/>
    <n v="28"/>
    <x v="10"/>
    <n v="0"/>
    <n v="0"/>
    <n v="0"/>
  </r>
  <r>
    <x v="0"/>
    <s v="jordan"/>
    <s v="1 low slip on"/>
    <n v="5"/>
    <s v="desert"/>
    <n v="54"/>
    <d v="2021-09-09T00:00:00"/>
    <n v="73"/>
    <d v="2021-09-12T00:00:00"/>
    <x v="8"/>
    <m/>
    <n v="3"/>
    <x v="1"/>
    <n v="19"/>
    <n v="19"/>
    <n v="0.35185185185185186"/>
  </r>
  <r>
    <x v="0"/>
    <s v="nike"/>
    <s v="dunk low"/>
    <n v="10.5"/>
    <s v="michigan"/>
    <n v="90"/>
    <d v="2021-09-10T00:00:00"/>
    <n v="150"/>
    <d v="2021-09-12T00:00:00"/>
    <x v="8"/>
    <m/>
    <n v="2"/>
    <x v="3"/>
    <n v="60"/>
    <n v="60"/>
    <n v="0.66666666666666663"/>
  </r>
  <r>
    <x v="0"/>
    <s v="off white"/>
    <s v="dunk off white"/>
    <n v="8"/>
    <s v="lot 26"/>
    <n v="215.5"/>
    <d v="2021-09-07T00:00:00"/>
    <n v="250"/>
    <d v="2021-09-13T00:00:00"/>
    <x v="8"/>
    <m/>
    <n v="6"/>
    <x v="3"/>
    <n v="34.5"/>
    <n v="34.5"/>
    <n v="0.16009280742459397"/>
  </r>
  <r>
    <x v="0"/>
    <s v="jordan"/>
    <n v="4"/>
    <n v="10"/>
    <s v="oreo"/>
    <n v="270"/>
    <d v="2021-09-09T00:00:00"/>
    <n v="325"/>
    <d v="2021-09-19T00:00:00"/>
    <x v="8"/>
    <m/>
    <n v="10"/>
    <x v="9"/>
    <n v="55"/>
    <n v="55"/>
    <n v="0.20370370370370369"/>
  </r>
  <r>
    <x v="0"/>
    <s v="nike"/>
    <s v="dunk low"/>
    <n v="5"/>
    <s v="pale coral"/>
    <n v="90"/>
    <d v="2021-09-15T00:00:00"/>
    <n v="110"/>
    <d v="2021-09-19T00:00:00"/>
    <x v="8"/>
    <m/>
    <n v="4"/>
    <x v="2"/>
    <n v="20"/>
    <n v="20"/>
    <n v="0.22222222222222221"/>
  </r>
  <r>
    <x v="0"/>
    <s v="jordan"/>
    <s v="1 mid"/>
    <n v="10.5"/>
    <s v="signal blue"/>
    <n v="100"/>
    <d v="2021-09-12T00:00:00"/>
    <n v="120"/>
    <d v="2021-09-20T00:00:00"/>
    <x v="8"/>
    <m/>
    <n v="8"/>
    <x v="1"/>
    <n v="20"/>
    <n v="20"/>
    <n v="0.2"/>
  </r>
  <r>
    <x v="0"/>
    <s v="nike"/>
    <s v="dunk low"/>
    <n v="8"/>
    <s v="pale coral"/>
    <n v="90"/>
    <d v="2021-09-15T00:00:00"/>
    <n v="100"/>
    <d v="2021-09-20T00:00:00"/>
    <x v="8"/>
    <m/>
    <n v="5"/>
    <x v="9"/>
    <n v="10"/>
    <n v="10"/>
    <n v="0.1111111111111111"/>
  </r>
  <r>
    <x v="0"/>
    <s v="jordan"/>
    <s v="11 high"/>
    <n v="8.5"/>
    <s v="concord"/>
    <n v="240"/>
    <d v="2021-08-16T00:00:00"/>
    <n v="320"/>
    <d v="2021-09-24T00:00:00"/>
    <x v="8"/>
    <m/>
    <n v="39"/>
    <x v="3"/>
    <n v="80"/>
    <n v="80"/>
    <n v="0.33333333333333331"/>
  </r>
  <r>
    <x v="0"/>
    <s v="jordan"/>
    <n v="4"/>
    <n v="10"/>
    <s v="oreo"/>
    <n v="270"/>
    <d v="2021-09-12T00:00:00"/>
    <n v="320"/>
    <d v="2021-09-24T00:00:00"/>
    <x v="8"/>
    <m/>
    <n v="12"/>
    <x v="7"/>
    <n v="50"/>
    <n v="50"/>
    <n v="0.18518518518518517"/>
  </r>
  <r>
    <x v="0"/>
    <s v="jordan"/>
    <s v="1 high"/>
    <n v="12"/>
    <s v="shattered backboard 3.0"/>
    <n v="265"/>
    <d v="2021-09-04T00:00:00"/>
    <n v="340"/>
    <d v="2021-09-26T00:00:00"/>
    <x v="8"/>
    <m/>
    <n v="22"/>
    <x v="2"/>
    <n v="75"/>
    <n v="75"/>
    <n v="0.28301886792452829"/>
  </r>
  <r>
    <x v="0"/>
    <s v="nike"/>
    <s v="air force"/>
    <n v="6.5"/>
    <s v="uv reactive swoosh"/>
    <n v="115"/>
    <d v="2021-09-17T00:00:00"/>
    <n v="115"/>
    <d v="2021-09-26T00:00:00"/>
    <x v="8"/>
    <m/>
    <n v="9"/>
    <x v="1"/>
    <n v="0"/>
    <n v="0"/>
    <n v="0"/>
  </r>
  <r>
    <x v="0"/>
    <s v="jordan"/>
    <s v="1 low"/>
    <n v="7.5"/>
    <s v="shadow"/>
    <n v="108"/>
    <d v="2021-09-08T00:00:00"/>
    <n v="125"/>
    <d v="2021-09-27T00:00:00"/>
    <x v="8"/>
    <m/>
    <n v="19"/>
    <x v="7"/>
    <n v="17"/>
    <n v="17"/>
    <n v="0.15740740740740741"/>
  </r>
  <r>
    <x v="3"/>
    <s v="homebase"/>
    <s v="venezuela chimenea"/>
    <s v="-"/>
    <s v="clay"/>
    <n v="66.25"/>
    <d v="2021-04-02T00:00:00"/>
    <n v="60"/>
    <d v="2021-09-30T00:00:00"/>
    <x v="8"/>
    <m/>
    <n v="181"/>
    <x v="0"/>
    <n v="-6.25"/>
    <n v="-6.25"/>
    <n v="-9.4339622641509441E-2"/>
  </r>
  <r>
    <x v="0"/>
    <s v="jordan"/>
    <n v="4"/>
    <n v="6"/>
    <s v="metallic red"/>
    <n v="254"/>
    <d v="2021-08-18T00:00:00"/>
    <n v="300"/>
    <d v="2021-10-02T00:00:00"/>
    <x v="9"/>
    <m/>
    <n v="45"/>
    <x v="0"/>
    <n v="46"/>
    <n v="46"/>
    <n v="0.18110236220472442"/>
  </r>
  <r>
    <x v="0"/>
    <s v="nike"/>
    <s v="dunk low"/>
    <s v="11k"/>
    <s v="panda"/>
    <n v="48"/>
    <d v="2021-10-01T00:00:00"/>
    <n v="70"/>
    <d v="2021-10-03T00:00:00"/>
    <x v="9"/>
    <m/>
    <n v="2"/>
    <x v="3"/>
    <n v="22"/>
    <n v="22"/>
    <n v="0.45833333333333331"/>
  </r>
  <r>
    <x v="0"/>
    <s v="nike"/>
    <s v="dunk low"/>
    <s v="11k"/>
    <s v="panda"/>
    <n v="48"/>
    <d v="2021-10-01T00:00:00"/>
    <n v="60"/>
    <d v="2021-10-06T00:00:00"/>
    <x v="9"/>
    <m/>
    <n v="5"/>
    <x v="1"/>
    <n v="12"/>
    <n v="12"/>
    <n v="0.25"/>
  </r>
  <r>
    <x v="0"/>
    <s v="jordan"/>
    <n v="6"/>
    <n v="4.5"/>
    <s v="carmine"/>
    <n v="65"/>
    <d v="2021-10-01T00:00:00"/>
    <n v="85"/>
    <d v="2021-10-06T00:00:00"/>
    <x v="9"/>
    <m/>
    <n v="5"/>
    <x v="3"/>
    <n v="20"/>
    <n v="20"/>
    <n v="0.30769230769230771"/>
  </r>
  <r>
    <x v="0"/>
    <s v="nike"/>
    <s v="dunk low"/>
    <n v="5"/>
    <s v="panda nature"/>
    <n v="90"/>
    <d v="2021-10-11T00:00:00"/>
    <n v="130"/>
    <d v="2021-10-12T00:00:00"/>
    <x v="9"/>
    <m/>
    <n v="1"/>
    <x v="1"/>
    <n v="40"/>
    <n v="40"/>
    <n v="0.44444444444444442"/>
  </r>
  <r>
    <x v="0"/>
    <s v="nike"/>
    <s v="dunk low"/>
    <s v="11k"/>
    <s v="panda"/>
    <n v="48"/>
    <d v="2021-10-01T00:00:00"/>
    <n v="65"/>
    <d v="2021-10-14T00:00:00"/>
    <x v="9"/>
    <m/>
    <n v="13"/>
    <x v="3"/>
    <n v="17"/>
    <n v="17"/>
    <n v="0.35416666666666669"/>
  </r>
  <r>
    <x v="0"/>
    <s v="jordan"/>
    <n v="4"/>
    <n v="7"/>
    <s v="shimmer"/>
    <n v="170"/>
    <d v="2021-09-30T00:00:00"/>
    <n v="210"/>
    <d v="2021-10-20T00:00:00"/>
    <x v="9"/>
    <m/>
    <n v="20"/>
    <x v="7"/>
    <n v="40"/>
    <n v="40"/>
    <n v="0.23529411764705882"/>
  </r>
  <r>
    <x v="4"/>
    <s v="trapstar"/>
    <s v="V logo hooded tracksuit"/>
    <s v="L"/>
    <s v="blue V"/>
    <n v="172"/>
    <d v="2021-09-24T00:00:00"/>
    <n v="210"/>
    <d v="2021-10-23T00:00:00"/>
    <x v="9"/>
    <m/>
    <n v="29"/>
    <x v="2"/>
    <n v="38"/>
    <n v="38"/>
    <n v="0.22093023255813954"/>
  </r>
  <r>
    <x v="0"/>
    <s v="jordan"/>
    <s v="1 mid"/>
    <n v="5.5"/>
    <s v="fleece"/>
    <n v="68"/>
    <d v="2021-10-22T00:00:00"/>
    <n v="80"/>
    <d v="2021-10-23T00:00:00"/>
    <x v="9"/>
    <m/>
    <n v="1"/>
    <x v="3"/>
    <n v="12"/>
    <n v="12"/>
    <n v="0.17647058823529413"/>
  </r>
  <r>
    <x v="0"/>
    <s v="jordan"/>
    <n v="4"/>
    <n v="10"/>
    <s v="winterised blue"/>
    <n v="210"/>
    <d v="2021-10-06T00:00:00"/>
    <n v="320"/>
    <d v="2021-10-25T00:00:00"/>
    <x v="9"/>
    <m/>
    <n v="19"/>
    <x v="11"/>
    <n v="110"/>
    <n v="110"/>
    <n v="0.52380952380952384"/>
  </r>
  <r>
    <x v="4"/>
    <s v="nike"/>
    <s v="sportswear club hoodie"/>
    <s v="L"/>
    <s v="grey"/>
    <n v="34.39"/>
    <d v="2021-10-24T00:00:00"/>
    <n v="45"/>
    <d v="2021-10-25T00:00:00"/>
    <x v="9"/>
    <m/>
    <n v="1"/>
    <x v="2"/>
    <n v="10.61"/>
    <n v="10.61"/>
    <n v="0.30851991858098282"/>
  </r>
  <r>
    <x v="4"/>
    <s v="trapstar"/>
    <s v="trapstar tech fleece"/>
    <s v="M"/>
    <s v="grey"/>
    <n v="187.5"/>
    <d v="2021-10-28T00:00:00"/>
    <n v="250"/>
    <d v="2021-10-27T00:00:00"/>
    <x v="9"/>
    <m/>
    <n v="-1"/>
    <x v="12"/>
    <n v="62.5"/>
    <n v="62.5"/>
    <n v="0.33333333333333331"/>
  </r>
  <r>
    <x v="4"/>
    <s v="trapstar"/>
    <s v="hooded jacket"/>
    <s v="M"/>
    <s v="black"/>
    <n v="220"/>
    <d v="2021-09-24T00:00:00"/>
    <n v="320"/>
    <d v="2021-10-28T00:00:00"/>
    <x v="9"/>
    <m/>
    <n v="34"/>
    <x v="7"/>
    <n v="100"/>
    <n v="100"/>
    <n v="0.45454545454545453"/>
  </r>
  <r>
    <x v="4"/>
    <s v="trapstar"/>
    <s v="shooters hooded tracksuit"/>
    <s v="S"/>
    <s v="black shooters"/>
    <n v="180"/>
    <d v="2021-09-30T00:00:00"/>
    <n v="210"/>
    <d v="2021-10-29T00:00:00"/>
    <x v="9"/>
    <m/>
    <n v="29"/>
    <x v="2"/>
    <n v="30"/>
    <n v="30"/>
    <n v="0.16666666666666666"/>
  </r>
  <r>
    <x v="0"/>
    <s v="nike"/>
    <s v="dunk low (baby)"/>
    <s v="4.5I"/>
    <s v="uni blue"/>
    <n v="36"/>
    <d v="2021-10-28T00:00:00"/>
    <n v="50"/>
    <d v="2021-11-03T00:00:00"/>
    <x v="10"/>
    <m/>
    <n v="6"/>
    <x v="3"/>
    <n v="14"/>
    <n v="14"/>
    <n v="0.3888888888888889"/>
  </r>
  <r>
    <x v="0"/>
    <s v="nike"/>
    <s v="dunk low (baby)"/>
    <s v="5.5I"/>
    <s v="uni blue"/>
    <n v="36"/>
    <d v="2021-10-28T00:00:00"/>
    <n v="50"/>
    <d v="2021-11-05T00:00:00"/>
    <x v="10"/>
    <m/>
    <n v="8"/>
    <x v="1"/>
    <n v="14"/>
    <n v="14"/>
    <n v="0.3888888888888889"/>
  </r>
  <r>
    <x v="0"/>
    <s v="nike"/>
    <s v="dunk low (baby)"/>
    <s v="5.5I"/>
    <s v="uni blue"/>
    <n v="36"/>
    <d v="2021-10-28T00:00:00"/>
    <n v="50"/>
    <d v="2021-11-08T00:00:00"/>
    <x v="10"/>
    <m/>
    <n v="11"/>
    <x v="1"/>
    <n v="14"/>
    <n v="14"/>
    <n v="0.3888888888888889"/>
  </r>
  <r>
    <x v="0"/>
    <s v="nike"/>
    <s v="dunk high"/>
    <n v="8"/>
    <s v="panda"/>
    <n v="83"/>
    <d v="2021-10-03T00:00:00"/>
    <n v="140"/>
    <d v="2021-11-12T00:00:00"/>
    <x v="10"/>
    <m/>
    <n v="40"/>
    <x v="7"/>
    <n v="57"/>
    <n v="57"/>
    <n v="0.68674698795180722"/>
  </r>
  <r>
    <x v="0"/>
    <s v="jordan"/>
    <n v="4"/>
    <n v="10"/>
    <s v="flight nostalgia"/>
    <n v="151"/>
    <d v="2021-11-05T00:00:00"/>
    <n v="210"/>
    <d v="2021-11-13T00:00:00"/>
    <x v="10"/>
    <m/>
    <n v="8"/>
    <x v="11"/>
    <n v="59"/>
    <n v="59"/>
    <n v="0.39072847682119205"/>
  </r>
  <r>
    <x v="0"/>
    <s v="jordan"/>
    <n v="4"/>
    <n v="7.5"/>
    <s v="starfish"/>
    <n v="125"/>
    <d v="2021-11-10T00:00:00"/>
    <n v="200"/>
    <d v="2021-11-22T00:00:00"/>
    <x v="10"/>
    <m/>
    <n v="12"/>
    <x v="2"/>
    <n v="75"/>
    <n v="75"/>
    <n v="0.6"/>
  </r>
  <r>
    <x v="0"/>
    <s v="jordan"/>
    <s v="1 mid"/>
    <n v="7.5"/>
    <s v="linen"/>
    <n v="110"/>
    <d v="2021-11-12T00:00:00"/>
    <n v="165"/>
    <d v="2021-11-24T00:00:00"/>
    <x v="10"/>
    <m/>
    <n v="12"/>
    <x v="11"/>
    <n v="55"/>
    <n v="55"/>
    <n v="0.5"/>
  </r>
  <r>
    <x v="4"/>
    <s v="trapstar"/>
    <s v="irongate jacket"/>
    <s v="S"/>
    <s v="shiny black"/>
    <n v="220"/>
    <d v="2021-11-25T00:00:00"/>
    <n v="280"/>
    <d v="2021-11-24T00:00:00"/>
    <x v="10"/>
    <m/>
    <n v="-1"/>
    <x v="12"/>
    <n v="60"/>
    <n v="60"/>
    <n v="0.27272727272727271"/>
  </r>
  <r>
    <x v="0"/>
    <s v="jordan"/>
    <s v="1 zoom cmft"/>
    <n v="4.5"/>
    <s v="psychic blue"/>
    <n v="105.3"/>
    <d v="2021-11-04T00:00:00"/>
    <n v="155"/>
    <d v="2021-11-27T00:00:00"/>
    <x v="10"/>
    <m/>
    <n v="23"/>
    <x v="3"/>
    <n v="49.7"/>
    <n v="49.7"/>
    <n v="0.47198480531813869"/>
  </r>
  <r>
    <x v="0"/>
    <s v="supreme"/>
    <s v="air force"/>
    <n v="6.5"/>
    <s v="white"/>
    <n v="100"/>
    <d v="2021-11-05T00:00:00"/>
    <n v="145"/>
    <d v="2021-12-01T00:00:00"/>
    <x v="11"/>
    <m/>
    <n v="26"/>
    <x v="3"/>
    <n v="45"/>
    <n v="45"/>
    <n v="0.45"/>
  </r>
  <r>
    <x v="4"/>
    <s v="nike"/>
    <s v="tech fleece"/>
    <s v="XS"/>
    <s v="grey/green"/>
    <n v="230"/>
    <d v="2021-12-02T00:00:00"/>
    <n v="290"/>
    <d v="2021-12-01T00:00:00"/>
    <x v="11"/>
    <m/>
    <n v="-1"/>
    <x v="11"/>
    <n v="60"/>
    <n v="60"/>
    <n v="0.2608695652173913"/>
  </r>
  <r>
    <x v="4"/>
    <s v="nike"/>
    <s v="tech fleece"/>
    <s v="XS"/>
    <s v="sand"/>
    <n v="225"/>
    <d v="2021-12-02T00:00:00"/>
    <n v="285"/>
    <d v="2021-12-01T00:00:00"/>
    <x v="11"/>
    <m/>
    <n v="-1"/>
    <x v="11"/>
    <n v="60"/>
    <n v="60"/>
    <n v="0.26666666666666666"/>
  </r>
  <r>
    <x v="0"/>
    <s v="jordan"/>
    <n v="4"/>
    <n v="8.5"/>
    <s v="uni blue"/>
    <n v="290"/>
    <d v="2021-09-20T00:00:00"/>
    <n v="365"/>
    <d v="2021-12-05T00:00:00"/>
    <x v="11"/>
    <m/>
    <n v="76"/>
    <x v="1"/>
    <n v="75"/>
    <n v="75"/>
    <n v="0.25862068965517243"/>
  </r>
  <r>
    <x v="4"/>
    <s v="trapstar"/>
    <s v="decoded hooded tracksuit"/>
    <s v="S"/>
    <s v="black/red"/>
    <n v="170"/>
    <d v="2021-11-25T00:00:00"/>
    <n v="203"/>
    <d v="2021-12-05T00:00:00"/>
    <x v="11"/>
    <m/>
    <n v="10"/>
    <x v="13"/>
    <n v="33"/>
    <n v="33"/>
    <n v="0.19411764705882353"/>
  </r>
  <r>
    <x v="0"/>
    <s v="jordan"/>
    <s v="1 mid"/>
    <n v="10"/>
    <s v="tan suede"/>
    <n v="115"/>
    <d v="2021-12-04T00:00:00"/>
    <n v="140"/>
    <d v="2021-12-06T00:00:00"/>
    <x v="11"/>
    <m/>
    <n v="2"/>
    <x v="3"/>
    <n v="25"/>
    <n v="25"/>
    <n v="0.21739130434782608"/>
  </r>
  <r>
    <x v="4"/>
    <s v="trapstar"/>
    <s v="hyperdrive jacket"/>
    <s v="S"/>
    <s v="khaki hyperdrive"/>
    <n v="205.45"/>
    <d v="2021-10-28T00:00:00"/>
    <n v="270"/>
    <d v="2021-12-09T00:00:00"/>
    <x v="11"/>
    <m/>
    <n v="42"/>
    <x v="7"/>
    <n v="64.550000000000011"/>
    <n v="64.550000000000011"/>
    <n v="0.31418836699926994"/>
  </r>
  <r>
    <x v="4"/>
    <s v="trapstar"/>
    <s v="decoded hooded tracksuit"/>
    <s v="XS"/>
    <s v="ice"/>
    <n v="175.45"/>
    <d v="2021-11-26T00:00:00"/>
    <n v="250"/>
    <d v="2021-12-09T00:00:00"/>
    <x v="11"/>
    <m/>
    <n v="13"/>
    <x v="11"/>
    <n v="74.550000000000011"/>
    <n v="74.550000000000011"/>
    <n v="0.42490738102023379"/>
  </r>
  <r>
    <x v="4"/>
    <s v="supreme"/>
    <s v="box logo hoodie"/>
    <s v="XL"/>
    <s v="white/red"/>
    <n v="163"/>
    <d v="2021-12-09T00:00:00"/>
    <n v="240"/>
    <d v="2021-12-17T00:00:00"/>
    <x v="11"/>
    <m/>
    <n v="8"/>
    <x v="7"/>
    <n v="77"/>
    <n v="77"/>
    <n v="0.47239263803680981"/>
  </r>
  <r>
    <x v="4"/>
    <s v="trapstar"/>
    <s v="decoded hooded tracksuit"/>
    <s v="S"/>
    <s v="candy"/>
    <n v="170"/>
    <d v="2021-11-25T00:00:00"/>
    <n v="215"/>
    <d v="2021-12-21T00:00:00"/>
    <x v="11"/>
    <m/>
    <n v="26"/>
    <x v="7"/>
    <n v="45"/>
    <n v="45"/>
    <n v="0.26470588235294118"/>
  </r>
  <r>
    <x v="0"/>
    <s v="jordan"/>
    <s v="1 high "/>
    <n v="10"/>
    <s v="royal blue 2017"/>
    <n v="299"/>
    <d v="2021-12-04T00:00:00"/>
    <n v="299"/>
    <d v="2021-12-22T00:00:00"/>
    <x v="11"/>
    <m/>
    <n v="18"/>
    <x v="14"/>
    <n v="0"/>
    <n v="0"/>
    <n v="0"/>
  </r>
  <r>
    <x v="0"/>
    <s v="supreme"/>
    <s v="supreme dunk"/>
    <n v="8"/>
    <s v="hyper royal"/>
    <n v="414"/>
    <d v="2021-12-07T00:00:00"/>
    <n v="414"/>
    <d v="2021-12-22T00:00:00"/>
    <x v="11"/>
    <m/>
    <n v="15"/>
    <x v="14"/>
    <n v="0"/>
    <n v="0"/>
    <n v="0"/>
  </r>
  <r>
    <x v="4"/>
    <s v="trapstar"/>
    <s v="decoded hooded tracksuit"/>
    <s v="S"/>
    <s v="citadel"/>
    <n v="175.45"/>
    <d v="2021-12-25T00:00:00"/>
    <n v="200"/>
    <d v="2021-12-25T00:00:00"/>
    <x v="11"/>
    <m/>
    <n v="0"/>
    <x v="12"/>
    <n v="24.550000000000011"/>
    <n v="24.550000000000011"/>
    <n v="0.13992590481618702"/>
  </r>
  <r>
    <x v="0"/>
    <s v="jordan"/>
    <s v="4 vintage"/>
    <n v="4.5"/>
    <s v="motorsport"/>
    <n v="21"/>
    <d v="2021-10-03T00:00:00"/>
    <m/>
    <m/>
    <x v="12"/>
    <n v="22"/>
    <s v=""/>
    <x v="15"/>
    <n v="1"/>
    <s v=""/>
    <n v="4.7619047619047616E-2"/>
  </r>
  <r>
    <x v="4"/>
    <s v="corteiz"/>
    <s v="tracksuit"/>
    <s v="XS"/>
    <s v="superior black"/>
    <n v="233"/>
    <d v="2021-11-21T00:00:00"/>
    <n v="300"/>
    <d v="2021-12-27T00:00:00"/>
    <x v="11"/>
    <m/>
    <n v="36"/>
    <x v="11"/>
    <n v="67"/>
    <n v="67"/>
    <n v="0.28755364806866951"/>
  </r>
  <r>
    <x v="4"/>
    <s v="nike"/>
    <s v="tech fleece"/>
    <s v="xs"/>
    <s v="sandalwood"/>
    <n v="109"/>
    <d v="2021-12-14T00:00:00"/>
    <n v="220"/>
    <d v="2021-12-27T00:00:00"/>
    <x v="11"/>
    <m/>
    <n v="13"/>
    <x v="0"/>
    <n v="111"/>
    <n v="111"/>
    <n v="1.0183486238532109"/>
  </r>
  <r>
    <x v="0"/>
    <s v="jordan"/>
    <s v="1 mid"/>
    <n v="8.5"/>
    <s v="chicago toe"/>
    <n v="197"/>
    <d v="2021-12-11T00:00:00"/>
    <n v="245"/>
    <d v="2021-12-28T00:00:00"/>
    <x v="11"/>
    <m/>
    <n v="17"/>
    <x v="16"/>
    <n v="48"/>
    <n v="48"/>
    <n v="0.24365482233502539"/>
  </r>
  <r>
    <x v="0"/>
    <s v="adidas"/>
    <s v="yeezy slide"/>
    <n v="9"/>
    <s v="ochre"/>
    <n v="50"/>
    <d v="2021-12-13T00:00:00"/>
    <n v="70"/>
    <d v="2021-12-29T00:00:00"/>
    <x v="11"/>
    <m/>
    <n v="16"/>
    <x v="3"/>
    <n v="20"/>
    <n v="20"/>
    <n v="0.4"/>
  </r>
  <r>
    <x v="0"/>
    <s v="nike"/>
    <s v="dunk low"/>
    <n v="5.5"/>
    <s v="panda"/>
    <n v="100"/>
    <d v="2021-12-22T00:00:00"/>
    <n v="165"/>
    <d v="2021-12-29T00:00:00"/>
    <x v="11"/>
    <m/>
    <n v="7"/>
    <x v="3"/>
    <n v="65"/>
    <n v="65"/>
    <n v="0.65"/>
  </r>
  <r>
    <x v="4"/>
    <s v="corteiz"/>
    <s v="tracksuit"/>
    <s v="S"/>
    <s v="superior stone"/>
    <n v="237.5"/>
    <d v="2021-12-12T00:00:00"/>
    <n v="350"/>
    <d v="2021-12-31T00:00:00"/>
    <x v="11"/>
    <m/>
    <n v="19"/>
    <x v="2"/>
    <n v="112.5"/>
    <n v="112.5"/>
    <n v="0.47368421052631576"/>
  </r>
  <r>
    <x v="0"/>
    <s v="jordan"/>
    <n v="4"/>
    <m/>
    <s v="oreo"/>
    <n v="240"/>
    <d v="2021-07-18T00:00:00"/>
    <m/>
    <m/>
    <x v="12"/>
    <n v="240"/>
    <s v=""/>
    <x v="15"/>
    <n v="0"/>
    <s v=""/>
    <n v="0"/>
  </r>
  <r>
    <x v="0"/>
    <s v="jordan"/>
    <n v="4"/>
    <m/>
    <s v="oreo"/>
    <n v="240"/>
    <d v="2021-07-18T00:00:00"/>
    <m/>
    <m/>
    <x v="12"/>
    <n v="240"/>
    <s v=""/>
    <x v="15"/>
    <n v="0"/>
    <s v=""/>
    <n v="0"/>
  </r>
  <r>
    <x v="0"/>
    <s v="jordan"/>
    <s v="11 high"/>
    <n v="5.5"/>
    <s v="win like 96"/>
    <n v="135.30000000000001"/>
    <d v="2021-11-04T00:00:00"/>
    <m/>
    <m/>
    <x v="12"/>
    <n v="150"/>
    <s v=""/>
    <x v="15"/>
    <n v="14.699999999999989"/>
    <s v=""/>
    <n v="0.10864745011086466"/>
  </r>
  <r>
    <x v="0"/>
    <s v="jordan"/>
    <s v="1 low"/>
    <n v="6.5"/>
    <s v="smoke grey"/>
    <n v="209"/>
    <d v="2021-12-04T00:00:00"/>
    <m/>
    <m/>
    <x v="12"/>
    <n v="240"/>
    <s v=""/>
    <x v="15"/>
    <n v="31"/>
    <s v=""/>
    <n v="0.14832535885167464"/>
  </r>
  <r>
    <x v="0"/>
    <s v="jordan"/>
    <n v="4"/>
    <n v="8"/>
    <s v="bred"/>
    <n v="356"/>
    <d v="2021-12-11T00:00:00"/>
    <m/>
    <m/>
    <x v="12"/>
    <n v="450"/>
    <s v=""/>
    <x v="15"/>
    <n v="94"/>
    <s v=""/>
    <n v="0.2640449438202247"/>
  </r>
  <r>
    <x v="0"/>
    <s v="adidas"/>
    <s v="human race NMD"/>
    <n v="8.5"/>
    <s v="infinite species"/>
    <n v="107"/>
    <d v="2021-12-11T00:00:00"/>
    <m/>
    <m/>
    <x v="12"/>
    <n v="150"/>
    <s v=""/>
    <x v="15"/>
    <n v="43"/>
    <s v=""/>
    <n v="0.40186915887850466"/>
  </r>
  <r>
    <x v="0"/>
    <s v="jordan"/>
    <s v="1 high"/>
    <n v="9"/>
    <s v="atmosphere"/>
    <n v="200"/>
    <d v="2021-12-21T00:00:00"/>
    <m/>
    <m/>
    <x v="12"/>
    <n v="250"/>
    <s v=""/>
    <x v="15"/>
    <n v="50"/>
    <s v=""/>
    <n v="0.25"/>
  </r>
  <r>
    <x v="0"/>
    <s v="off white"/>
    <s v="dunk low"/>
    <n v="9"/>
    <s v="pine green"/>
    <n v="513"/>
    <d v="2021-12-22T00:00:00"/>
    <m/>
    <m/>
    <x v="12"/>
    <n v="700"/>
    <s v=""/>
    <x v="15"/>
    <n v="187"/>
    <s v=""/>
    <n v="0.36452241715399608"/>
  </r>
  <r>
    <x v="0"/>
    <s v="nike"/>
    <s v="dunk low"/>
    <n v="8"/>
    <s v="michigan"/>
    <n v="100"/>
    <d v="2021-12-22T00:00:00"/>
    <m/>
    <m/>
    <x v="12"/>
    <n v="150"/>
    <s v=""/>
    <x v="15"/>
    <n v="50"/>
    <s v=""/>
    <n v="0.5"/>
  </r>
  <r>
    <x v="4"/>
    <s v="nike"/>
    <s v="tech fleece"/>
    <s v="xs"/>
    <s v="grey/green"/>
    <n v="162"/>
    <d v="2021-12-23T00:00:00"/>
    <m/>
    <m/>
    <x v="12"/>
    <n v="200"/>
    <s v=""/>
    <x v="15"/>
    <n v="38"/>
    <s v=""/>
    <n v="0.23456790123456789"/>
  </r>
  <r>
    <x v="4"/>
    <s v="trapstar"/>
    <s v="irongate jacket"/>
    <s v="M"/>
    <s v="brown"/>
    <n v="220.45"/>
    <d v="2021-12-25T00:00:00"/>
    <m/>
    <m/>
    <x v="12"/>
    <n v="300"/>
    <s v=""/>
    <x v="15"/>
    <n v="79.550000000000011"/>
    <s v=""/>
    <n v="0.36085280108868228"/>
  </r>
  <r>
    <x v="4"/>
    <s v="trapstar"/>
    <s v="mesh panel hoodie tracksuit"/>
    <s v="L"/>
    <s v="citadel"/>
    <n v="172.45"/>
    <d v="2021-12-31T00:00:00"/>
    <m/>
    <m/>
    <x v="12"/>
    <n v="200"/>
    <s v=""/>
    <x v="15"/>
    <n v="27.550000000000011"/>
    <s v=""/>
    <n v="0.15975645114525958"/>
  </r>
  <r>
    <x v="4"/>
    <s v="trapstar"/>
    <s v="irongate jacket"/>
    <s v="S"/>
    <s v="triple black"/>
    <n v="220"/>
    <d v="2021-12-31T00:00:00"/>
    <m/>
    <m/>
    <x v="12"/>
    <n v="300"/>
    <s v=""/>
    <x v="15"/>
    <n v="80"/>
    <s v=""/>
    <n v="0.36363636363636365"/>
  </r>
  <r>
    <x v="4"/>
    <s v="trapstar"/>
    <s v="irongate jacket"/>
    <s v="S"/>
    <s v="triple black"/>
    <n v="220"/>
    <d v="2021-12-31T00:00:00"/>
    <m/>
    <m/>
    <x v="12"/>
    <n v="300"/>
    <s v=""/>
    <x v="15"/>
    <n v="80"/>
    <s v=""/>
    <n v="0.36363636363636365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  <r>
    <x v="5"/>
    <m/>
    <m/>
    <m/>
    <m/>
    <m/>
    <m/>
    <m/>
    <m/>
    <x v="12"/>
    <m/>
    <s v=""/>
    <x v="15"/>
    <n v="0"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84B39-6933-477F-875A-11BA1C725FF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>
  <location ref="C4:E15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9">
        <item x="6"/>
        <item x="0"/>
        <item x="4"/>
        <item x="3"/>
        <item m="1" x="17"/>
        <item x="5"/>
        <item x="2"/>
        <item x="1"/>
        <item x="7"/>
        <item x="15"/>
        <item x="8"/>
        <item x="9"/>
        <item x="10"/>
        <item x="11"/>
        <item x="12"/>
        <item x="13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showAll="0"/>
    <pivotField dataField="1" numFmtId="165" showAll="0"/>
  </pivotFields>
  <rowFields count="1">
    <field x="12"/>
  </rowFields>
  <rowItems count="11">
    <i>
      <x v="3"/>
    </i>
    <i>
      <x v="1"/>
    </i>
    <i>
      <x v="8"/>
    </i>
    <i>
      <x v="7"/>
    </i>
    <i>
      <x v="6"/>
    </i>
    <i>
      <x v="13"/>
    </i>
    <i>
      <x v="11"/>
    </i>
    <i>
      <x v="2"/>
    </i>
    <i>
      <x v="14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profit" fld="14" baseField="0" baseItem="0" numFmtId="44"/>
    <dataField name="Average of ROI" fld="15" subtotal="average" baseField="0" baseItem="0" numFmtId="165"/>
  </dataFields>
  <formats count="2"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6CCE3-EAEA-4437-81DF-0E062259FEC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>
  <location ref="H4:I10" firstHeaderRow="1" firstDataRow="1" firstDataCol="1"/>
  <pivotFields count="16">
    <pivotField axis="axisRow" showAll="0" measureFilter="1" sortType="descending">
      <items count="7">
        <item x="4"/>
        <item x="2"/>
        <item x="1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numFmtId="165" showAll="0"/>
  </pivotFields>
  <rowFields count="1">
    <field x="0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est. profit" fld="13" baseField="0" baseItem="0" numFmtId="44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B9567-BA8B-4253-A48F-012DCC12A56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L21:M3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12"/>
        <item x="8"/>
        <item x="11"/>
        <item x="10"/>
        <item x="9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numFmtId="44" showAll="0"/>
    <pivotField dataField="1" showAll="0"/>
    <pivotField numFmtId="165"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ctual profit" fld="14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96144-7849-4A73-9506-607E9EDEB9F6}" name="input_table" displayName="input_table" ref="A1:P155" totalsRowShown="0">
  <autoFilter ref="A1:P155" xr:uid="{B032434E-0C7C-4646-95D0-ED8BBE65908E}"/>
  <sortState xmlns:xlrd2="http://schemas.microsoft.com/office/spreadsheetml/2017/richdata2" ref="A2:P155">
    <sortCondition ref="I1:I155"/>
  </sortState>
  <tableColumns count="16">
    <tableColumn id="1" xr3:uid="{A880AFC0-8785-4A16-BF44-8A20710BE399}" name="Income stream" dataDxfId="23"/>
    <tableColumn id="2" xr3:uid="{1294E2FF-3A7D-4F6B-A535-1FD019BEAFFB}" name="Brand" dataDxfId="22"/>
    <tableColumn id="3" xr3:uid="{E068E5E8-BA3D-40EA-860D-17E4E5206155}" name="Item" dataDxfId="21"/>
    <tableColumn id="4" xr3:uid="{73FFA986-AC15-4FC7-8FFD-621E52C95A83}" name="Size" dataDxfId="20"/>
    <tableColumn id="5" xr3:uid="{4C010537-31D7-457B-81EA-9EC670ADA5E0}" name="colour" dataDxfId="19"/>
    <tableColumn id="6" xr3:uid="{3BD2ED23-765B-411C-A7B6-9F60A56E33AF}" name="Purchased" dataDxfId="18" dataCellStyle="Currency"/>
    <tableColumn id="7" xr3:uid="{4C36841C-18B4-40AD-A4FD-0214187F1756}" name="Date Purchased" dataDxfId="17"/>
    <tableColumn id="8" xr3:uid="{6F018238-D80F-4C29-931A-73C061F37387}" name="Sold" dataDxfId="16"/>
    <tableColumn id="9" xr3:uid="{26BAEF6E-1777-440B-98FC-4EB2900E7704}" name="Date Sold" dataDxfId="15" dataCellStyle="Currency"/>
    <tableColumn id="12" xr3:uid="{FFF8EA0D-816E-49DB-B5FF-EBB8E546E1E8}" name="month" dataDxfId="14"/>
    <tableColumn id="46" xr3:uid="{5857ECE2-CE98-42FC-BE1E-BF853038F4EF}" name="estimate sold" dataDxfId="13"/>
    <tableColumn id="48" xr3:uid="{AF28492B-5BDF-4075-BFB4-95F7B86E51A9}" name="sell time" dataDxfId="12">
      <calculatedColumnFormula>IF(I2&lt;&gt;"",I2-G2,"")</calculatedColumnFormula>
    </tableColumn>
    <tableColumn id="10" xr3:uid="{263F9B88-1F58-4FA8-9B34-8DAA0DDC2482}" name="sale method" dataDxfId="11"/>
    <tableColumn id="43" xr3:uid="{3ECFEBCA-22CC-45F5-84C4-90D46724FB10}" name="est. profit" dataDxfId="10">
      <calculatedColumnFormula>(K2+H2)-F2</calculatedColumnFormula>
    </tableColumn>
    <tableColumn id="47" xr3:uid="{BEE00FEB-E321-4B2F-8520-21B7AB87AD71}" name="actual profit" dataDxfId="9">
      <calculatedColumnFormula>IF(H2&lt;&gt;"",H2-F2,"")</calculatedColumnFormula>
    </tableColumn>
    <tableColumn id="44" xr3:uid="{B3431E7D-BB0D-4642-8882-CF62861E2774}" name="ROI" dataDxfId="8">
      <calculatedColumnFormula>IFERROR(input_table[[#This Row],[est. profit]]/input_table[[#This Row],[Purchased]],)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6DF26C-9295-44D9-9B3B-98A1E00A3092}" name="output_table" displayName="output_table" ref="R1:S2">
  <autoFilter ref="R1:S2" xr:uid="{2AC7A0CE-9374-4F92-8EAF-142BB92991A5}">
    <filterColumn colId="0" hiddenButton="1"/>
    <filterColumn colId="1" hiddenButton="1"/>
  </autoFilter>
  <tableColumns count="2">
    <tableColumn id="1" xr3:uid="{5DAF501D-2EDC-4241-A829-280046305F67}" name="Total actual profit" totalsRowLabel="Total" dataDxfId="7" totalsRowDxfId="6">
      <calculatedColumnFormula>SUM(O:O)</calculatedColumnFormula>
    </tableColumn>
    <tableColumn id="9" xr3:uid="{DDC875A1-7967-42D1-B947-8028F0B33D9D}" name="total estimate profit" dataDxfId="5" totalsRowDxfId="4">
      <calculatedColumnFormula>SUM(N:N)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AD79-0289-4983-856E-7749607E89BE}">
  <dimension ref="A1:D2"/>
  <sheetViews>
    <sheetView workbookViewId="0">
      <selection activeCell="C34" sqref="C34"/>
    </sheetView>
  </sheetViews>
  <sheetFormatPr defaultRowHeight="15" x14ac:dyDescent="0.25"/>
  <cols>
    <col min="1" max="1" width="19.42578125" customWidth="1"/>
    <col min="2" max="2" width="20.42578125" customWidth="1"/>
    <col min="3" max="3" width="22.5703125" customWidth="1"/>
    <col min="4" max="4" width="21.7109375" customWidth="1"/>
  </cols>
  <sheetData>
    <row r="1" spans="1:4" x14ac:dyDescent="0.25">
      <c r="A1" s="2"/>
      <c r="B1" s="2"/>
      <c r="C1" s="2"/>
      <c r="D1" s="2"/>
    </row>
    <row r="2" spans="1:4" x14ac:dyDescent="0.25">
      <c r="A2" s="12"/>
      <c r="B2" s="2"/>
      <c r="C2" s="2"/>
      <c r="D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E458-1D2E-46A2-8D4A-AFF3768BEE89}">
  <dimension ref="A1:V2483"/>
  <sheetViews>
    <sheetView tabSelected="1" zoomScaleNormal="100" workbookViewId="0">
      <selection activeCell="H161" sqref="H161"/>
    </sheetView>
  </sheetViews>
  <sheetFormatPr defaultRowHeight="15" x14ac:dyDescent="0.25"/>
  <cols>
    <col min="1" max="1" width="14.85546875" style="11" customWidth="1"/>
    <col min="2" max="2" width="10.42578125" style="11" customWidth="1"/>
    <col min="3" max="3" width="19.42578125" customWidth="1"/>
    <col min="4" max="4" width="6.5703125" customWidth="1"/>
    <col min="5" max="5" width="14.28515625" style="11" customWidth="1"/>
    <col min="6" max="6" width="14.140625" style="3" customWidth="1"/>
    <col min="7" max="7" width="16.28515625" style="1" customWidth="1"/>
    <col min="8" max="8" width="9.28515625" style="2" customWidth="1"/>
    <col min="9" max="9" width="16.140625" style="1" customWidth="1"/>
    <col min="10" max="10" width="6.42578125" style="1" customWidth="1"/>
    <col min="11" max="11" width="15.42578125" style="2" customWidth="1"/>
    <col min="12" max="12" width="10.28515625" customWidth="1"/>
    <col min="13" max="13" width="10.140625" customWidth="1"/>
    <col min="14" max="14" width="14.140625" style="2" customWidth="1"/>
    <col min="15" max="15" width="10.140625" style="5" customWidth="1"/>
    <col min="17" max="17" width="20.42578125" style="2" customWidth="1"/>
    <col min="18" max="18" width="21.28515625" style="2" customWidth="1"/>
    <col min="19" max="19" width="20.85546875" style="2" customWidth="1"/>
    <col min="20" max="20" width="21.5703125" style="2" customWidth="1"/>
    <col min="21" max="21" width="22.28515625" style="2" customWidth="1"/>
    <col min="22" max="23" width="10.42578125" customWidth="1"/>
  </cols>
  <sheetData>
    <row r="1" spans="1:22" x14ac:dyDescent="0.25">
      <c r="A1" s="11" t="s">
        <v>0</v>
      </c>
      <c r="B1" s="11" t="s">
        <v>1</v>
      </c>
      <c r="C1" t="s">
        <v>2</v>
      </c>
      <c r="D1" t="s">
        <v>3</v>
      </c>
      <c r="E1" s="1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151</v>
      </c>
      <c r="K1" s="2" t="s">
        <v>55</v>
      </c>
      <c r="L1" t="s">
        <v>70</v>
      </c>
      <c r="M1" t="s">
        <v>66</v>
      </c>
      <c r="N1" s="6" t="s">
        <v>58</v>
      </c>
      <c r="O1" s="6" t="s">
        <v>59</v>
      </c>
      <c r="P1" s="5" t="s">
        <v>53</v>
      </c>
      <c r="Q1"/>
      <c r="R1" s="2" t="s">
        <v>60</v>
      </c>
      <c r="S1" s="2" t="s">
        <v>56</v>
      </c>
      <c r="V1" s="2"/>
    </row>
    <row r="2" spans="1:22" x14ac:dyDescent="0.25">
      <c r="A2" s="11" t="s">
        <v>9</v>
      </c>
      <c r="B2" s="11" t="s">
        <v>10</v>
      </c>
      <c r="C2" t="s">
        <v>11</v>
      </c>
      <c r="D2">
        <v>8</v>
      </c>
      <c r="E2" s="11" t="s">
        <v>12</v>
      </c>
      <c r="F2" s="3">
        <v>55</v>
      </c>
      <c r="G2" s="1">
        <v>44213</v>
      </c>
      <c r="H2" s="18">
        <v>60</v>
      </c>
      <c r="I2" s="19">
        <v>44216</v>
      </c>
      <c r="J2" s="1" t="s">
        <v>152</v>
      </c>
      <c r="L2">
        <f t="shared" ref="L2:L65" si="0">IF(I2&lt;&gt;"",I2-G2,"")</f>
        <v>3</v>
      </c>
      <c r="M2" t="s">
        <v>67</v>
      </c>
      <c r="N2" s="2">
        <f t="shared" ref="N2:N65" si="1">(K2+H2)-F2</f>
        <v>5</v>
      </c>
      <c r="O2" s="2">
        <f t="shared" ref="O2:O65" si="2">IF(H2&lt;&gt;"",H2-F2,"")</f>
        <v>5</v>
      </c>
      <c r="P2" s="5">
        <f>IFERROR(input_table[[#This Row],[est. profit]]/input_table[[#This Row],[Purchased]],)</f>
        <v>9.0909090909090912E-2</v>
      </c>
      <c r="Q2"/>
      <c r="R2" s="12">
        <f>SUM(O:O)</f>
        <v>6834.11</v>
      </c>
      <c r="S2" s="2">
        <f>SUM(N:N)</f>
        <v>7609.91</v>
      </c>
      <c r="V2" s="2"/>
    </row>
    <row r="3" spans="1:22" x14ac:dyDescent="0.25">
      <c r="A3" s="11" t="s">
        <v>9</v>
      </c>
      <c r="B3" s="11" t="s">
        <v>10</v>
      </c>
      <c r="C3" t="s">
        <v>50</v>
      </c>
      <c r="D3">
        <v>8</v>
      </c>
      <c r="E3" s="11" t="s">
        <v>13</v>
      </c>
      <c r="F3" s="3">
        <v>65.849999999999994</v>
      </c>
      <c r="G3" s="1">
        <v>44213</v>
      </c>
      <c r="H3" s="18">
        <v>74.2</v>
      </c>
      <c r="I3" s="19">
        <v>44232</v>
      </c>
      <c r="J3" s="1" t="s">
        <v>153</v>
      </c>
      <c r="L3">
        <f t="shared" si="0"/>
        <v>19</v>
      </c>
      <c r="M3" t="s">
        <v>68</v>
      </c>
      <c r="N3" s="2">
        <f t="shared" si="1"/>
        <v>8.3500000000000085</v>
      </c>
      <c r="O3" s="2">
        <f t="shared" si="2"/>
        <v>8.3500000000000085</v>
      </c>
      <c r="P3" s="5">
        <f>IFERROR(input_table[[#This Row],[est. profit]]/input_table[[#This Row],[Purchased]],)</f>
        <v>0.1268033409263479</v>
      </c>
      <c r="Q3"/>
      <c r="V3" s="2"/>
    </row>
    <row r="4" spans="1:22" x14ac:dyDescent="0.25">
      <c r="A4" s="11" t="s">
        <v>9</v>
      </c>
      <c r="B4" s="11" t="s">
        <v>14</v>
      </c>
      <c r="C4" t="s">
        <v>15</v>
      </c>
      <c r="D4">
        <v>9</v>
      </c>
      <c r="E4" s="11" t="s">
        <v>16</v>
      </c>
      <c r="F4" s="3">
        <v>105</v>
      </c>
      <c r="G4" s="1">
        <v>44240</v>
      </c>
      <c r="H4" s="18">
        <v>140</v>
      </c>
      <c r="I4" s="19">
        <v>44241</v>
      </c>
      <c r="J4" s="1" t="s">
        <v>153</v>
      </c>
      <c r="L4">
        <f t="shared" si="0"/>
        <v>1</v>
      </c>
      <c r="M4" t="s">
        <v>109</v>
      </c>
      <c r="N4" s="2">
        <f t="shared" si="1"/>
        <v>35</v>
      </c>
      <c r="O4" s="2">
        <f t="shared" si="2"/>
        <v>35</v>
      </c>
      <c r="P4" s="5">
        <f>IFERROR(input_table[[#This Row],[est. profit]]/input_table[[#This Row],[Purchased]],)</f>
        <v>0.33333333333333331</v>
      </c>
      <c r="Q4"/>
      <c r="R4" s="7" t="s">
        <v>71</v>
      </c>
      <c r="S4" s="7" t="s">
        <v>72</v>
      </c>
      <c r="T4" s="7" t="s">
        <v>73</v>
      </c>
      <c r="V4" s="2"/>
    </row>
    <row r="5" spans="1:22" x14ac:dyDescent="0.25">
      <c r="A5" s="11" t="s">
        <v>9</v>
      </c>
      <c r="B5" s="11" t="s">
        <v>14</v>
      </c>
      <c r="C5" t="s">
        <v>15</v>
      </c>
      <c r="D5">
        <v>8</v>
      </c>
      <c r="E5" s="11" t="s">
        <v>17</v>
      </c>
      <c r="F5" s="3">
        <v>180</v>
      </c>
      <c r="G5" s="1">
        <v>44204</v>
      </c>
      <c r="H5" s="18">
        <v>190</v>
      </c>
      <c r="I5" s="19">
        <v>44246</v>
      </c>
      <c r="J5" s="1" t="s">
        <v>153</v>
      </c>
      <c r="L5">
        <f t="shared" si="0"/>
        <v>42</v>
      </c>
      <c r="M5" t="s">
        <v>69</v>
      </c>
      <c r="N5" s="2">
        <f t="shared" si="1"/>
        <v>10</v>
      </c>
      <c r="O5" s="2">
        <f t="shared" si="2"/>
        <v>10</v>
      </c>
      <c r="P5" s="5">
        <f>IFERROR(input_table[[#This Row],[est. profit]]/input_table[[#This Row],[Purchased]],)</f>
        <v>5.5555555555555552E-2</v>
      </c>
      <c r="Q5"/>
      <c r="R5" s="9">
        <f>SUM('Input Sheet'!F3:F155)-SUMIF('Input Sheet'!H3:H155,"&lt;&gt;",'Input Sheet'!F3:F155)</f>
        <v>3116.2000000000007</v>
      </c>
      <c r="S5" s="9">
        <f>SUM(K:K)</f>
        <v>3892</v>
      </c>
      <c r="T5" s="13">
        <f>S5/R5</f>
        <v>1.2489570630896603</v>
      </c>
      <c r="V5" s="2"/>
    </row>
    <row r="6" spans="1:22" x14ac:dyDescent="0.25">
      <c r="A6" s="11" t="s">
        <v>9</v>
      </c>
      <c r="B6" s="11" t="s">
        <v>10</v>
      </c>
      <c r="C6" t="s">
        <v>20</v>
      </c>
      <c r="D6">
        <v>8</v>
      </c>
      <c r="E6" s="11" t="s">
        <v>21</v>
      </c>
      <c r="F6" s="3">
        <v>90</v>
      </c>
      <c r="G6" s="1">
        <v>44241</v>
      </c>
      <c r="H6" s="18">
        <v>186</v>
      </c>
      <c r="I6" s="19">
        <v>44246</v>
      </c>
      <c r="J6" s="1" t="s">
        <v>153</v>
      </c>
      <c r="L6">
        <f t="shared" si="0"/>
        <v>5</v>
      </c>
      <c r="M6" t="s">
        <v>69</v>
      </c>
      <c r="N6" s="2">
        <f t="shared" si="1"/>
        <v>96</v>
      </c>
      <c r="O6" s="2">
        <f t="shared" si="2"/>
        <v>96</v>
      </c>
      <c r="P6" s="5">
        <f>IFERROR(input_table[[#This Row],[est. profit]]/input_table[[#This Row],[Purchased]],)</f>
        <v>1.0666666666666667</v>
      </c>
      <c r="Q6"/>
      <c r="T6" s="4"/>
      <c r="V6" s="2"/>
    </row>
    <row r="7" spans="1:22" x14ac:dyDescent="0.25">
      <c r="A7" s="11" t="s">
        <v>9</v>
      </c>
      <c r="B7" s="11" t="s">
        <v>14</v>
      </c>
      <c r="C7" t="s">
        <v>18</v>
      </c>
      <c r="D7">
        <v>11</v>
      </c>
      <c r="E7" s="11" t="s">
        <v>19</v>
      </c>
      <c r="F7" s="3">
        <v>136</v>
      </c>
      <c r="G7" s="1">
        <v>44245</v>
      </c>
      <c r="H7" s="18">
        <v>178</v>
      </c>
      <c r="I7" s="19">
        <v>44246</v>
      </c>
      <c r="J7" s="1" t="s">
        <v>153</v>
      </c>
      <c r="L7">
        <f t="shared" si="0"/>
        <v>1</v>
      </c>
      <c r="M7" t="s">
        <v>69</v>
      </c>
      <c r="N7" s="2">
        <f t="shared" si="1"/>
        <v>42</v>
      </c>
      <c r="O7" s="2">
        <f t="shared" si="2"/>
        <v>42</v>
      </c>
      <c r="P7" s="5">
        <f>IFERROR(input_table[[#This Row],[est. profit]]/input_table[[#This Row],[Purchased]],)</f>
        <v>0.30882352941176472</v>
      </c>
      <c r="Q7"/>
      <c r="R7" s="7" t="s">
        <v>54</v>
      </c>
      <c r="S7" s="8" t="s">
        <v>57</v>
      </c>
      <c r="V7" s="2"/>
    </row>
    <row r="8" spans="1:22" x14ac:dyDescent="0.25">
      <c r="A8" s="11" t="s">
        <v>9</v>
      </c>
      <c r="B8" s="11" t="s">
        <v>14</v>
      </c>
      <c r="C8" t="s">
        <v>15</v>
      </c>
      <c r="D8">
        <v>11.5</v>
      </c>
      <c r="E8" s="11" t="s">
        <v>22</v>
      </c>
      <c r="F8" s="3">
        <v>104.95</v>
      </c>
      <c r="G8" s="1">
        <v>44239</v>
      </c>
      <c r="H8" s="18">
        <v>105</v>
      </c>
      <c r="I8" s="19">
        <v>44249</v>
      </c>
      <c r="J8" s="1" t="s">
        <v>153</v>
      </c>
      <c r="L8">
        <f t="shared" si="0"/>
        <v>10</v>
      </c>
      <c r="M8" t="s">
        <v>69</v>
      </c>
      <c r="N8" s="2">
        <f t="shared" si="1"/>
        <v>4.9999999999997158E-2</v>
      </c>
      <c r="O8" s="2">
        <f t="shared" si="2"/>
        <v>4.9999999999997158E-2</v>
      </c>
      <c r="P8" s="5">
        <f>IFERROR(input_table[[#This Row],[est. profit]]/input_table[[#This Row],[Purchased]],)</f>
        <v>4.7641734159120685E-4</v>
      </c>
      <c r="Q8"/>
      <c r="R8" s="9">
        <f>SUM(input_table[] H:H)</f>
        <v>24230.14</v>
      </c>
      <c r="S8" s="10">
        <f>SUM(R8, K:K)</f>
        <v>28122.14</v>
      </c>
      <c r="V8" s="2"/>
    </row>
    <row r="9" spans="1:22" x14ac:dyDescent="0.25">
      <c r="A9" s="11" t="s">
        <v>9</v>
      </c>
      <c r="B9" s="11" t="s">
        <v>14</v>
      </c>
      <c r="C9" t="s">
        <v>15</v>
      </c>
      <c r="D9">
        <v>7.5</v>
      </c>
      <c r="E9" s="11" t="s">
        <v>23</v>
      </c>
      <c r="F9" s="3">
        <v>100</v>
      </c>
      <c r="G9" s="1">
        <v>44245</v>
      </c>
      <c r="H9" s="18">
        <v>113</v>
      </c>
      <c r="I9" s="19">
        <v>44254</v>
      </c>
      <c r="J9" s="1" t="s">
        <v>153</v>
      </c>
      <c r="L9">
        <f t="shared" si="0"/>
        <v>9</v>
      </c>
      <c r="M9" t="s">
        <v>69</v>
      </c>
      <c r="N9" s="2">
        <f t="shared" si="1"/>
        <v>13</v>
      </c>
      <c r="O9" s="2">
        <f t="shared" si="2"/>
        <v>13</v>
      </c>
      <c r="P9" s="5">
        <f>IFERROR(input_table[[#This Row],[est. profit]]/input_table[[#This Row],[Purchased]],)</f>
        <v>0.13</v>
      </c>
      <c r="Q9"/>
      <c r="V9" s="2"/>
    </row>
    <row r="10" spans="1:22" x14ac:dyDescent="0.25">
      <c r="A10" s="11" t="s">
        <v>94</v>
      </c>
      <c r="B10" s="11" t="s">
        <v>14</v>
      </c>
      <c r="C10" t="s">
        <v>15</v>
      </c>
      <c r="D10">
        <v>4.5</v>
      </c>
      <c r="E10" s="11" t="s">
        <v>12</v>
      </c>
      <c r="F10" s="3">
        <v>0</v>
      </c>
      <c r="G10" s="1">
        <v>44243</v>
      </c>
      <c r="H10" s="18">
        <v>88</v>
      </c>
      <c r="I10" s="19">
        <v>44255</v>
      </c>
      <c r="J10" s="1" t="s">
        <v>153</v>
      </c>
      <c r="L10">
        <f t="shared" si="0"/>
        <v>12</v>
      </c>
      <c r="M10" t="s">
        <v>69</v>
      </c>
      <c r="N10" s="2">
        <f t="shared" si="1"/>
        <v>88</v>
      </c>
      <c r="O10" s="2">
        <f t="shared" si="2"/>
        <v>88</v>
      </c>
      <c r="P10" s="5">
        <f>IFERROR(input_table[[#This Row],[est. profit]]/input_table[[#This Row],[Purchased]],)</f>
        <v>0</v>
      </c>
      <c r="Q10"/>
      <c r="V10" s="2"/>
    </row>
    <row r="11" spans="1:22" x14ac:dyDescent="0.25">
      <c r="A11" s="11" t="s">
        <v>61</v>
      </c>
      <c r="B11" s="11" t="s">
        <v>25</v>
      </c>
      <c r="C11" t="s">
        <v>26</v>
      </c>
      <c r="D11" t="s">
        <v>62</v>
      </c>
      <c r="E11" s="11" t="s">
        <v>27</v>
      </c>
      <c r="F11" s="3">
        <v>0</v>
      </c>
      <c r="G11" s="1">
        <v>44254</v>
      </c>
      <c r="H11" s="18">
        <v>165</v>
      </c>
      <c r="I11" s="19">
        <v>44258</v>
      </c>
      <c r="J11" s="1" t="s">
        <v>154</v>
      </c>
      <c r="L11">
        <f t="shared" si="0"/>
        <v>4</v>
      </c>
      <c r="M11" t="s">
        <v>67</v>
      </c>
      <c r="N11" s="2">
        <f t="shared" si="1"/>
        <v>165</v>
      </c>
      <c r="O11" s="2">
        <f t="shared" si="2"/>
        <v>165</v>
      </c>
      <c r="P11" s="5">
        <f>IFERROR(input_table[[#This Row],[est. profit]]/input_table[[#This Row],[Purchased]],)</f>
        <v>0</v>
      </c>
      <c r="Q11"/>
      <c r="V11" s="2"/>
    </row>
    <row r="12" spans="1:22" x14ac:dyDescent="0.25">
      <c r="A12" s="11" t="s">
        <v>61</v>
      </c>
      <c r="B12" s="11" t="s">
        <v>25</v>
      </c>
      <c r="C12" t="s">
        <v>26</v>
      </c>
      <c r="D12" t="s">
        <v>62</v>
      </c>
      <c r="E12" s="11" t="s">
        <v>27</v>
      </c>
      <c r="F12" s="3">
        <v>0</v>
      </c>
      <c r="G12" s="1">
        <v>44254</v>
      </c>
      <c r="H12" s="18">
        <v>210</v>
      </c>
      <c r="I12" s="19">
        <v>44258</v>
      </c>
      <c r="J12" s="1" t="s">
        <v>154</v>
      </c>
      <c r="L12">
        <f t="shared" si="0"/>
        <v>4</v>
      </c>
      <c r="M12" t="s">
        <v>67</v>
      </c>
      <c r="N12" s="2">
        <f t="shared" si="1"/>
        <v>210</v>
      </c>
      <c r="O12" s="2">
        <f t="shared" si="2"/>
        <v>210</v>
      </c>
      <c r="P12" s="5">
        <f>IFERROR(input_table[[#This Row],[est. profit]]/input_table[[#This Row],[Purchased]],)</f>
        <v>0</v>
      </c>
      <c r="Q12"/>
      <c r="V12" s="2"/>
    </row>
    <row r="13" spans="1:22" x14ac:dyDescent="0.25">
      <c r="A13" s="11" t="s">
        <v>61</v>
      </c>
      <c r="B13" s="11" t="s">
        <v>28</v>
      </c>
      <c r="C13" t="s">
        <v>29</v>
      </c>
      <c r="D13">
        <v>11</v>
      </c>
      <c r="E13" s="11" t="s">
        <v>30</v>
      </c>
      <c r="F13" s="3">
        <v>0</v>
      </c>
      <c r="G13" s="1">
        <v>44267</v>
      </c>
      <c r="H13" s="18">
        <v>442.64</v>
      </c>
      <c r="I13" s="19">
        <v>44285</v>
      </c>
      <c r="J13" s="1" t="s">
        <v>154</v>
      </c>
      <c r="L13">
        <f t="shared" si="0"/>
        <v>18</v>
      </c>
      <c r="M13" t="s">
        <v>68</v>
      </c>
      <c r="N13" s="2">
        <f t="shared" si="1"/>
        <v>442.64</v>
      </c>
      <c r="O13" s="2">
        <f t="shared" si="2"/>
        <v>442.64</v>
      </c>
      <c r="P13" s="5">
        <f>IFERROR(input_table[[#This Row],[est. profit]]/input_table[[#This Row],[Purchased]],)</f>
        <v>0</v>
      </c>
      <c r="Q13"/>
      <c r="V13" s="2"/>
    </row>
    <row r="14" spans="1:22" x14ac:dyDescent="0.25">
      <c r="A14" s="11" t="s">
        <v>61</v>
      </c>
      <c r="B14" s="11" t="s">
        <v>28</v>
      </c>
      <c r="C14" t="s">
        <v>29</v>
      </c>
      <c r="D14">
        <v>9</v>
      </c>
      <c r="E14" s="11" t="s">
        <v>30</v>
      </c>
      <c r="F14" s="3">
        <v>0</v>
      </c>
      <c r="G14" s="1">
        <v>44267</v>
      </c>
      <c r="H14" s="18">
        <v>488</v>
      </c>
      <c r="I14" s="19">
        <v>44295</v>
      </c>
      <c r="J14" s="1" t="s">
        <v>155</v>
      </c>
      <c r="L14">
        <f t="shared" si="0"/>
        <v>28</v>
      </c>
      <c r="M14" t="s">
        <v>69</v>
      </c>
      <c r="N14" s="2">
        <f t="shared" si="1"/>
        <v>488</v>
      </c>
      <c r="O14" s="2">
        <f t="shared" si="2"/>
        <v>488</v>
      </c>
      <c r="P14" s="5">
        <f>IFERROR(input_table[[#This Row],[est. profit]]/input_table[[#This Row],[Purchased]],)</f>
        <v>0</v>
      </c>
      <c r="Q14"/>
      <c r="R14"/>
      <c r="S14"/>
      <c r="T14"/>
      <c r="V14" s="2"/>
    </row>
    <row r="15" spans="1:22" x14ac:dyDescent="0.25">
      <c r="A15" s="11" t="s">
        <v>9</v>
      </c>
      <c r="B15" s="11" t="s">
        <v>14</v>
      </c>
      <c r="C15" t="s">
        <v>51</v>
      </c>
      <c r="D15">
        <v>4.5</v>
      </c>
      <c r="E15" s="11" t="s">
        <v>31</v>
      </c>
      <c r="F15" s="3">
        <v>90</v>
      </c>
      <c r="G15" s="1">
        <v>44283</v>
      </c>
      <c r="H15" s="18">
        <v>98</v>
      </c>
      <c r="I15" s="19">
        <v>44297</v>
      </c>
      <c r="J15" s="1" t="s">
        <v>155</v>
      </c>
      <c r="L15">
        <f t="shared" si="0"/>
        <v>14</v>
      </c>
      <c r="M15" t="s">
        <v>69</v>
      </c>
      <c r="N15" s="2">
        <f t="shared" si="1"/>
        <v>8</v>
      </c>
      <c r="O15" s="2">
        <f t="shared" si="2"/>
        <v>8</v>
      </c>
      <c r="P15" s="5">
        <f>IFERROR(input_table[[#This Row],[est. profit]]/input_table[[#This Row],[Purchased]],)</f>
        <v>8.8888888888888892E-2</v>
      </c>
      <c r="Q15"/>
      <c r="R15"/>
      <c r="S15"/>
      <c r="T15"/>
      <c r="V15" s="2"/>
    </row>
    <row r="16" spans="1:22" x14ac:dyDescent="0.25">
      <c r="A16" s="11" t="s">
        <v>9</v>
      </c>
      <c r="B16" s="11" t="s">
        <v>10</v>
      </c>
      <c r="C16" t="s">
        <v>43</v>
      </c>
      <c r="D16">
        <v>6</v>
      </c>
      <c r="E16" s="11" t="s">
        <v>48</v>
      </c>
      <c r="F16" s="3">
        <v>85.5</v>
      </c>
      <c r="G16" s="1">
        <v>44294</v>
      </c>
      <c r="H16" s="18">
        <v>104</v>
      </c>
      <c r="I16" s="19">
        <v>44298</v>
      </c>
      <c r="J16" s="1" t="s">
        <v>155</v>
      </c>
      <c r="L16">
        <f t="shared" si="0"/>
        <v>4</v>
      </c>
      <c r="M16" t="s">
        <v>69</v>
      </c>
      <c r="N16" s="2">
        <f t="shared" si="1"/>
        <v>18.5</v>
      </c>
      <c r="O16" s="2">
        <f t="shared" si="2"/>
        <v>18.5</v>
      </c>
      <c r="P16" s="5">
        <f>IFERROR(input_table[[#This Row],[est. profit]]/input_table[[#This Row],[Purchased]],)</f>
        <v>0.21637426900584794</v>
      </c>
      <c r="Q16"/>
      <c r="R16"/>
      <c r="S16"/>
      <c r="T16"/>
      <c r="V16" s="2"/>
    </row>
    <row r="17" spans="1:22" x14ac:dyDescent="0.25">
      <c r="A17" s="11" t="s">
        <v>24</v>
      </c>
      <c r="B17" s="11" t="s">
        <v>32</v>
      </c>
      <c r="C17" t="s">
        <v>34</v>
      </c>
      <c r="D17" t="s">
        <v>62</v>
      </c>
      <c r="E17" s="11" t="s">
        <v>63</v>
      </c>
      <c r="F17" s="3">
        <v>35</v>
      </c>
      <c r="G17" s="1">
        <v>44291</v>
      </c>
      <c r="H17" s="18">
        <v>45</v>
      </c>
      <c r="I17" s="19">
        <v>44303</v>
      </c>
      <c r="J17" s="1" t="s">
        <v>155</v>
      </c>
      <c r="L17">
        <f t="shared" si="0"/>
        <v>12</v>
      </c>
      <c r="M17" t="s">
        <v>76</v>
      </c>
      <c r="N17" s="2">
        <f t="shared" si="1"/>
        <v>10</v>
      </c>
      <c r="O17" s="2">
        <f t="shared" si="2"/>
        <v>10</v>
      </c>
      <c r="P17" s="5">
        <f>IFERROR(input_table[[#This Row],[est. profit]]/input_table[[#This Row],[Purchased]],)</f>
        <v>0.2857142857142857</v>
      </c>
      <c r="Q17"/>
      <c r="R17"/>
      <c r="S17"/>
      <c r="T17"/>
      <c r="V17" s="2"/>
    </row>
    <row r="18" spans="1:22" x14ac:dyDescent="0.25">
      <c r="A18" s="11" t="s">
        <v>24</v>
      </c>
      <c r="B18" s="11" t="s">
        <v>32</v>
      </c>
      <c r="C18" t="s">
        <v>33</v>
      </c>
      <c r="D18" t="s">
        <v>62</v>
      </c>
      <c r="E18" s="11" t="s">
        <v>63</v>
      </c>
      <c r="F18" s="3">
        <v>25</v>
      </c>
      <c r="G18" s="1">
        <v>44291</v>
      </c>
      <c r="H18" s="18">
        <v>45</v>
      </c>
      <c r="I18" s="19">
        <v>44303</v>
      </c>
      <c r="J18" s="1" t="s">
        <v>155</v>
      </c>
      <c r="L18">
        <f t="shared" si="0"/>
        <v>12</v>
      </c>
      <c r="M18" t="s">
        <v>76</v>
      </c>
      <c r="N18" s="2">
        <f t="shared" si="1"/>
        <v>20</v>
      </c>
      <c r="O18" s="2">
        <f t="shared" si="2"/>
        <v>20</v>
      </c>
      <c r="P18" s="5">
        <f>IFERROR(input_table[[#This Row],[est. profit]]/input_table[[#This Row],[Purchased]],)</f>
        <v>0.8</v>
      </c>
      <c r="Q18"/>
      <c r="R18"/>
      <c r="S18"/>
      <c r="T18"/>
      <c r="V18" s="2"/>
    </row>
    <row r="19" spans="1:22" x14ac:dyDescent="0.25">
      <c r="A19" s="11" t="s">
        <v>9</v>
      </c>
      <c r="B19" s="11" t="s">
        <v>14</v>
      </c>
      <c r="C19" t="s">
        <v>15</v>
      </c>
      <c r="D19">
        <v>4</v>
      </c>
      <c r="E19" s="11" t="s">
        <v>174</v>
      </c>
      <c r="F19" s="3">
        <v>57.95</v>
      </c>
      <c r="G19" s="1">
        <v>44302</v>
      </c>
      <c r="H19" s="18">
        <v>80</v>
      </c>
      <c r="I19" s="19">
        <v>44304</v>
      </c>
      <c r="J19" s="1" t="s">
        <v>155</v>
      </c>
      <c r="L19">
        <f t="shared" si="0"/>
        <v>2</v>
      </c>
      <c r="M19" t="s">
        <v>109</v>
      </c>
      <c r="N19" s="2">
        <f t="shared" si="1"/>
        <v>22.049999999999997</v>
      </c>
      <c r="O19" s="2">
        <f t="shared" si="2"/>
        <v>22.049999999999997</v>
      </c>
      <c r="P19" s="5">
        <f>IFERROR(input_table[[#This Row],[est. profit]]/input_table[[#This Row],[Purchased]],)</f>
        <v>0.38050043140638473</v>
      </c>
      <c r="Q19"/>
      <c r="R19"/>
      <c r="S19"/>
      <c r="T19"/>
      <c r="V19" s="2"/>
    </row>
    <row r="20" spans="1:22" x14ac:dyDescent="0.25">
      <c r="A20" s="11" t="s">
        <v>9</v>
      </c>
      <c r="B20" s="11" t="s">
        <v>10</v>
      </c>
      <c r="C20" t="s">
        <v>45</v>
      </c>
      <c r="D20">
        <v>10</v>
      </c>
      <c r="E20" s="11" t="s">
        <v>46</v>
      </c>
      <c r="F20" s="3">
        <v>165</v>
      </c>
      <c r="G20" s="1">
        <v>44287</v>
      </c>
      <c r="H20" s="18">
        <v>160</v>
      </c>
      <c r="I20" s="19">
        <v>44308</v>
      </c>
      <c r="J20" s="1" t="s">
        <v>155</v>
      </c>
      <c r="L20">
        <f t="shared" si="0"/>
        <v>21</v>
      </c>
      <c r="M20" t="s">
        <v>69</v>
      </c>
      <c r="N20" s="2">
        <f t="shared" si="1"/>
        <v>-5</v>
      </c>
      <c r="O20" s="2">
        <f t="shared" si="2"/>
        <v>-5</v>
      </c>
      <c r="P20" s="5">
        <f>IFERROR(input_table[[#This Row],[est. profit]]/input_table[[#This Row],[Purchased]],)</f>
        <v>-3.0303030303030304E-2</v>
      </c>
      <c r="Q20"/>
      <c r="R20"/>
      <c r="S20"/>
      <c r="T20"/>
      <c r="V20" s="2"/>
    </row>
    <row r="21" spans="1:22" x14ac:dyDescent="0.25">
      <c r="A21" s="11" t="s">
        <v>61</v>
      </c>
      <c r="B21" s="11" t="s">
        <v>25</v>
      </c>
      <c r="C21" t="s">
        <v>41</v>
      </c>
      <c r="D21" t="s">
        <v>62</v>
      </c>
      <c r="E21" s="11" t="s">
        <v>42</v>
      </c>
      <c r="F21" s="3">
        <v>0</v>
      </c>
      <c r="G21" s="1">
        <v>44284</v>
      </c>
      <c r="H21" s="18">
        <v>185</v>
      </c>
      <c r="I21" s="19">
        <v>44314</v>
      </c>
      <c r="J21" s="1" t="s">
        <v>155</v>
      </c>
      <c r="L21">
        <f t="shared" si="0"/>
        <v>30</v>
      </c>
      <c r="M21" t="s">
        <v>67</v>
      </c>
      <c r="N21" s="2">
        <f t="shared" si="1"/>
        <v>185</v>
      </c>
      <c r="O21" s="2">
        <f t="shared" si="2"/>
        <v>185</v>
      </c>
      <c r="P21" s="5">
        <f>IFERROR(input_table[[#This Row],[est. profit]]/input_table[[#This Row],[Purchased]],)</f>
        <v>0</v>
      </c>
      <c r="Q21"/>
      <c r="R21"/>
      <c r="S21"/>
      <c r="T21"/>
      <c r="V21" s="2"/>
    </row>
    <row r="22" spans="1:22" x14ac:dyDescent="0.25">
      <c r="A22" s="11" t="s">
        <v>9</v>
      </c>
      <c r="B22" s="11" t="s">
        <v>84</v>
      </c>
      <c r="C22" t="s">
        <v>85</v>
      </c>
      <c r="D22">
        <v>5</v>
      </c>
      <c r="E22" s="11" t="s">
        <v>86</v>
      </c>
      <c r="F22" s="3">
        <v>62.99</v>
      </c>
      <c r="G22" s="1">
        <v>44311</v>
      </c>
      <c r="H22" s="18">
        <v>90</v>
      </c>
      <c r="I22" s="19">
        <v>44314</v>
      </c>
      <c r="J22" s="1" t="s">
        <v>155</v>
      </c>
      <c r="L22">
        <f t="shared" si="0"/>
        <v>3</v>
      </c>
      <c r="M22" t="s">
        <v>69</v>
      </c>
      <c r="N22" s="2">
        <f t="shared" si="1"/>
        <v>27.009999999999998</v>
      </c>
      <c r="O22" s="2">
        <f t="shared" si="2"/>
        <v>27.009999999999998</v>
      </c>
      <c r="P22" s="5">
        <f>IFERROR(input_table[[#This Row],[est. profit]]/input_table[[#This Row],[Purchased]],)</f>
        <v>0.42879822193999045</v>
      </c>
      <c r="Q22"/>
      <c r="R22"/>
      <c r="S22"/>
      <c r="T22"/>
      <c r="V22" s="2"/>
    </row>
    <row r="23" spans="1:22" x14ac:dyDescent="0.25">
      <c r="A23" s="11" t="s">
        <v>9</v>
      </c>
      <c r="B23" s="11" t="s">
        <v>10</v>
      </c>
      <c r="C23" t="s">
        <v>43</v>
      </c>
      <c r="D23">
        <v>5</v>
      </c>
      <c r="E23" s="11" t="s">
        <v>47</v>
      </c>
      <c r="F23" s="3">
        <v>85.45</v>
      </c>
      <c r="G23" s="1">
        <v>44287</v>
      </c>
      <c r="H23" s="18">
        <v>85.45</v>
      </c>
      <c r="I23" s="19">
        <v>44316</v>
      </c>
      <c r="J23" s="1" t="s">
        <v>155</v>
      </c>
      <c r="L23">
        <f t="shared" si="0"/>
        <v>29</v>
      </c>
      <c r="M23" t="s">
        <v>87</v>
      </c>
      <c r="N23" s="2">
        <f t="shared" si="1"/>
        <v>0</v>
      </c>
      <c r="O23" s="2">
        <f t="shared" si="2"/>
        <v>0</v>
      </c>
      <c r="P23" s="5">
        <f>IFERROR(input_table[[#This Row],[est. profit]]/input_table[[#This Row],[Purchased]],)</f>
        <v>0</v>
      </c>
      <c r="Q23"/>
      <c r="R23"/>
      <c r="S23"/>
      <c r="T23"/>
      <c r="V23" s="2"/>
    </row>
    <row r="24" spans="1:22" x14ac:dyDescent="0.25">
      <c r="A24" s="11" t="s">
        <v>9</v>
      </c>
      <c r="B24" s="11" t="s">
        <v>10</v>
      </c>
      <c r="C24" t="s">
        <v>52</v>
      </c>
      <c r="D24">
        <v>2.5</v>
      </c>
      <c r="E24" s="11" t="s">
        <v>49</v>
      </c>
      <c r="F24" s="3">
        <v>74.38</v>
      </c>
      <c r="G24" s="1">
        <v>44295</v>
      </c>
      <c r="H24" s="18">
        <v>74.38</v>
      </c>
      <c r="I24" s="19">
        <v>44316</v>
      </c>
      <c r="J24" s="1" t="s">
        <v>155</v>
      </c>
      <c r="L24">
        <f t="shared" si="0"/>
        <v>21</v>
      </c>
      <c r="M24" t="s">
        <v>87</v>
      </c>
      <c r="N24" s="2">
        <f t="shared" si="1"/>
        <v>0</v>
      </c>
      <c r="O24" s="2">
        <f t="shared" si="2"/>
        <v>0</v>
      </c>
      <c r="P24" s="5">
        <f>IFERROR(input_table[[#This Row],[est. profit]]/input_table[[#This Row],[Purchased]],)</f>
        <v>0</v>
      </c>
      <c r="Q24"/>
      <c r="R24"/>
      <c r="S24"/>
      <c r="T24"/>
      <c r="V24" s="2"/>
    </row>
    <row r="25" spans="1:22" x14ac:dyDescent="0.25">
      <c r="A25" s="11" t="s">
        <v>9</v>
      </c>
      <c r="B25" s="11" t="s">
        <v>10</v>
      </c>
      <c r="C25" t="s">
        <v>52</v>
      </c>
      <c r="D25">
        <v>4</v>
      </c>
      <c r="E25" s="11" t="s">
        <v>49</v>
      </c>
      <c r="F25" s="3">
        <v>74.38</v>
      </c>
      <c r="G25" s="1">
        <v>44295</v>
      </c>
      <c r="H25" s="18">
        <v>74.38</v>
      </c>
      <c r="I25" s="19">
        <v>44316</v>
      </c>
      <c r="J25" s="1" t="s">
        <v>155</v>
      </c>
      <c r="L25">
        <f t="shared" si="0"/>
        <v>21</v>
      </c>
      <c r="M25" t="s">
        <v>87</v>
      </c>
      <c r="N25" s="2">
        <f t="shared" si="1"/>
        <v>0</v>
      </c>
      <c r="O25" s="2">
        <f t="shared" si="2"/>
        <v>0</v>
      </c>
      <c r="P25" s="5">
        <f>IFERROR(input_table[[#This Row],[est. profit]]/input_table[[#This Row],[Purchased]],)</f>
        <v>0</v>
      </c>
      <c r="Q25"/>
      <c r="R25"/>
      <c r="S25"/>
      <c r="T25"/>
      <c r="V25" s="2"/>
    </row>
    <row r="26" spans="1:22" x14ac:dyDescent="0.25">
      <c r="A26" s="11" t="s">
        <v>9</v>
      </c>
      <c r="B26" s="11" t="s">
        <v>14</v>
      </c>
      <c r="C26" t="s">
        <v>15</v>
      </c>
      <c r="D26">
        <v>8.5</v>
      </c>
      <c r="E26" s="11" t="s">
        <v>77</v>
      </c>
      <c r="F26" s="3">
        <v>99.95</v>
      </c>
      <c r="G26" s="1">
        <v>44308</v>
      </c>
      <c r="H26" s="18">
        <v>99.95</v>
      </c>
      <c r="I26" s="19">
        <v>44316</v>
      </c>
      <c r="J26" s="1" t="s">
        <v>155</v>
      </c>
      <c r="L26">
        <f t="shared" si="0"/>
        <v>8</v>
      </c>
      <c r="M26" t="s">
        <v>87</v>
      </c>
      <c r="N26" s="2">
        <f t="shared" si="1"/>
        <v>0</v>
      </c>
      <c r="O26" s="2">
        <f t="shared" si="2"/>
        <v>0</v>
      </c>
      <c r="P26" s="5">
        <f>IFERROR(input_table[[#This Row],[est. profit]]/input_table[[#This Row],[Purchased]],)</f>
        <v>0</v>
      </c>
      <c r="Q26"/>
      <c r="R26"/>
      <c r="S26"/>
      <c r="T26"/>
      <c r="V26" s="2"/>
    </row>
    <row r="27" spans="1:22" x14ac:dyDescent="0.25">
      <c r="A27" s="11" t="s">
        <v>9</v>
      </c>
      <c r="B27" s="11" t="s">
        <v>14</v>
      </c>
      <c r="C27" t="s">
        <v>15</v>
      </c>
      <c r="D27">
        <v>9</v>
      </c>
      <c r="E27" s="11" t="s">
        <v>77</v>
      </c>
      <c r="F27" s="3">
        <v>99.95</v>
      </c>
      <c r="G27" s="1">
        <v>44308</v>
      </c>
      <c r="H27" s="18">
        <v>99.95</v>
      </c>
      <c r="I27" s="19">
        <v>44316</v>
      </c>
      <c r="J27" s="1" t="s">
        <v>155</v>
      </c>
      <c r="L27">
        <f t="shared" si="0"/>
        <v>8</v>
      </c>
      <c r="M27" t="s">
        <v>87</v>
      </c>
      <c r="N27" s="2">
        <f t="shared" si="1"/>
        <v>0</v>
      </c>
      <c r="O27" s="2">
        <f t="shared" si="2"/>
        <v>0</v>
      </c>
      <c r="P27" s="5">
        <f>IFERROR(input_table[[#This Row],[est. profit]]/input_table[[#This Row],[Purchased]],)</f>
        <v>0</v>
      </c>
      <c r="Q27"/>
      <c r="R27"/>
      <c r="S27"/>
      <c r="T27"/>
      <c r="V27" s="2"/>
    </row>
    <row r="28" spans="1:22" x14ac:dyDescent="0.25">
      <c r="A28" s="11" t="s">
        <v>61</v>
      </c>
      <c r="B28" s="11" t="s">
        <v>25</v>
      </c>
      <c r="C28" t="s">
        <v>41</v>
      </c>
      <c r="D28" t="s">
        <v>62</v>
      </c>
      <c r="E28" s="11" t="s">
        <v>42</v>
      </c>
      <c r="F28" s="3">
        <v>0</v>
      </c>
      <c r="G28" s="1">
        <v>44284</v>
      </c>
      <c r="H28" s="18">
        <v>180</v>
      </c>
      <c r="I28" s="19">
        <v>44317</v>
      </c>
      <c r="J28" s="1" t="s">
        <v>156</v>
      </c>
      <c r="L28">
        <f t="shared" si="0"/>
        <v>33</v>
      </c>
      <c r="M28" t="s">
        <v>67</v>
      </c>
      <c r="N28" s="2">
        <f t="shared" si="1"/>
        <v>180</v>
      </c>
      <c r="O28" s="2">
        <f t="shared" si="2"/>
        <v>180</v>
      </c>
      <c r="P28" s="5">
        <f>IFERROR(input_table[[#This Row],[est. profit]]/input_table[[#This Row],[Purchased]],)</f>
        <v>0</v>
      </c>
      <c r="Q28"/>
      <c r="R28"/>
      <c r="S28"/>
      <c r="T28"/>
      <c r="V28" s="2"/>
    </row>
    <row r="29" spans="1:22" x14ac:dyDescent="0.25">
      <c r="A29" s="11" t="s">
        <v>9</v>
      </c>
      <c r="B29" s="11" t="s">
        <v>84</v>
      </c>
      <c r="C29" t="s">
        <v>85</v>
      </c>
      <c r="D29">
        <v>4.5</v>
      </c>
      <c r="E29" s="11" t="s">
        <v>86</v>
      </c>
      <c r="F29" s="3">
        <v>62.99</v>
      </c>
      <c r="G29" s="1">
        <v>44311</v>
      </c>
      <c r="H29" s="18">
        <v>67.69</v>
      </c>
      <c r="I29" s="19">
        <v>44318</v>
      </c>
      <c r="J29" s="1" t="s">
        <v>156</v>
      </c>
      <c r="L29">
        <f t="shared" si="0"/>
        <v>7</v>
      </c>
      <c r="M29" t="s">
        <v>68</v>
      </c>
      <c r="N29" s="2">
        <f t="shared" si="1"/>
        <v>4.6999999999999957</v>
      </c>
      <c r="O29" s="2">
        <f t="shared" si="2"/>
        <v>4.6999999999999957</v>
      </c>
      <c r="P29" s="5">
        <f>IFERROR(input_table[[#This Row],[est. profit]]/input_table[[#This Row],[Purchased]],)</f>
        <v>7.4615018256866103E-2</v>
      </c>
      <c r="Q29"/>
      <c r="R29"/>
      <c r="S29"/>
      <c r="T29"/>
      <c r="V29" s="2"/>
    </row>
    <row r="30" spans="1:22" x14ac:dyDescent="0.25">
      <c r="A30" s="11" t="s">
        <v>9</v>
      </c>
      <c r="B30" s="11" t="s">
        <v>14</v>
      </c>
      <c r="C30">
        <v>3</v>
      </c>
      <c r="D30">
        <v>4.5</v>
      </c>
      <c r="E30" s="11" t="s">
        <v>31</v>
      </c>
      <c r="F30" s="3">
        <v>90</v>
      </c>
      <c r="G30" s="1">
        <v>44283</v>
      </c>
      <c r="H30" s="18">
        <v>93</v>
      </c>
      <c r="I30" s="19">
        <v>44320</v>
      </c>
      <c r="J30" s="1" t="s">
        <v>156</v>
      </c>
      <c r="L30">
        <f t="shared" si="0"/>
        <v>37</v>
      </c>
      <c r="M30" t="s">
        <v>69</v>
      </c>
      <c r="N30" s="2">
        <f t="shared" si="1"/>
        <v>3</v>
      </c>
      <c r="O30" s="2">
        <f t="shared" si="2"/>
        <v>3</v>
      </c>
      <c r="P30" s="5">
        <f>IFERROR(input_table[[#This Row],[est. profit]]/input_table[[#This Row],[Purchased]],)</f>
        <v>3.3333333333333333E-2</v>
      </c>
      <c r="Q30"/>
      <c r="R30"/>
      <c r="S30"/>
      <c r="T30"/>
      <c r="V30" s="2"/>
    </row>
    <row r="31" spans="1:22" x14ac:dyDescent="0.25">
      <c r="A31" s="11" t="s">
        <v>9</v>
      </c>
      <c r="B31" s="11" t="s">
        <v>14</v>
      </c>
      <c r="C31" t="s">
        <v>64</v>
      </c>
      <c r="D31">
        <v>8</v>
      </c>
      <c r="E31" s="11" t="s">
        <v>78</v>
      </c>
      <c r="F31" s="3">
        <v>89.99</v>
      </c>
      <c r="G31" s="1">
        <v>44304</v>
      </c>
      <c r="H31" s="18">
        <v>93</v>
      </c>
      <c r="I31" s="19">
        <v>44320</v>
      </c>
      <c r="J31" s="1" t="s">
        <v>156</v>
      </c>
      <c r="L31">
        <f t="shared" si="0"/>
        <v>16</v>
      </c>
      <c r="M31" t="s">
        <v>69</v>
      </c>
      <c r="N31" s="2">
        <f t="shared" si="1"/>
        <v>3.0100000000000051</v>
      </c>
      <c r="O31" s="2">
        <f t="shared" si="2"/>
        <v>3.0100000000000051</v>
      </c>
      <c r="P31" s="5">
        <f>IFERROR(input_table[[#This Row],[est. profit]]/input_table[[#This Row],[Purchased]],)</f>
        <v>3.3448160906767478E-2</v>
      </c>
      <c r="Q31"/>
      <c r="R31"/>
      <c r="S31"/>
      <c r="T31"/>
      <c r="V31" s="2"/>
    </row>
    <row r="32" spans="1:22" x14ac:dyDescent="0.25">
      <c r="A32" s="11" t="s">
        <v>9</v>
      </c>
      <c r="B32" s="11" t="s">
        <v>14</v>
      </c>
      <c r="C32">
        <v>5</v>
      </c>
      <c r="D32">
        <v>7.5</v>
      </c>
      <c r="E32" s="11" t="s">
        <v>92</v>
      </c>
      <c r="F32" s="3">
        <v>148.49</v>
      </c>
      <c r="G32" s="1">
        <v>44318</v>
      </c>
      <c r="H32" s="18">
        <v>169</v>
      </c>
      <c r="I32" s="19">
        <v>44320</v>
      </c>
      <c r="J32" s="1" t="s">
        <v>156</v>
      </c>
      <c r="L32">
        <f t="shared" si="0"/>
        <v>2</v>
      </c>
      <c r="M32" t="s">
        <v>69</v>
      </c>
      <c r="N32" s="2">
        <f t="shared" si="1"/>
        <v>20.509999999999991</v>
      </c>
      <c r="O32" s="2">
        <f t="shared" si="2"/>
        <v>20.509999999999991</v>
      </c>
      <c r="P32" s="5">
        <f>IFERROR(input_table[[#This Row],[est. profit]]/input_table[[#This Row],[Purchased]],)</f>
        <v>0.13812377937908268</v>
      </c>
      <c r="Q32"/>
      <c r="R32"/>
      <c r="V32" s="2"/>
    </row>
    <row r="33" spans="1:22" x14ac:dyDescent="0.25">
      <c r="A33" s="11" t="s">
        <v>9</v>
      </c>
      <c r="B33" s="11" t="s">
        <v>14</v>
      </c>
      <c r="C33" t="s">
        <v>167</v>
      </c>
      <c r="D33">
        <v>7.5</v>
      </c>
      <c r="E33" s="11" t="s">
        <v>93</v>
      </c>
      <c r="F33" s="3">
        <v>143.99</v>
      </c>
      <c r="G33" s="1">
        <v>44319</v>
      </c>
      <c r="H33" s="18">
        <v>159</v>
      </c>
      <c r="I33" s="19">
        <v>44320</v>
      </c>
      <c r="J33" s="1" t="s">
        <v>156</v>
      </c>
      <c r="L33">
        <f t="shared" si="0"/>
        <v>1</v>
      </c>
      <c r="M33" t="s">
        <v>69</v>
      </c>
      <c r="N33" s="2">
        <f t="shared" si="1"/>
        <v>15.009999999999991</v>
      </c>
      <c r="O33" s="2">
        <f t="shared" si="2"/>
        <v>15.009999999999991</v>
      </c>
      <c r="P33" s="5">
        <f>IFERROR(input_table[[#This Row],[est. profit]]/input_table[[#This Row],[Purchased]],)</f>
        <v>0.10424335023265498</v>
      </c>
      <c r="Q33"/>
      <c r="V33" s="2"/>
    </row>
    <row r="34" spans="1:22" x14ac:dyDescent="0.25">
      <c r="A34" s="11" t="s">
        <v>9</v>
      </c>
      <c r="B34" s="11" t="s">
        <v>14</v>
      </c>
      <c r="C34" t="s">
        <v>64</v>
      </c>
      <c r="D34">
        <v>4</v>
      </c>
      <c r="E34" s="11" t="s">
        <v>65</v>
      </c>
      <c r="F34" s="3">
        <v>109.49</v>
      </c>
      <c r="G34" s="1">
        <v>44298</v>
      </c>
      <c r="H34" s="18">
        <v>90</v>
      </c>
      <c r="I34" s="19">
        <v>44321</v>
      </c>
      <c r="J34" s="1" t="s">
        <v>156</v>
      </c>
      <c r="L34">
        <f t="shared" si="0"/>
        <v>23</v>
      </c>
      <c r="M34" t="s">
        <v>91</v>
      </c>
      <c r="N34" s="2">
        <f t="shared" si="1"/>
        <v>-19.489999999999995</v>
      </c>
      <c r="O34" s="2">
        <f t="shared" si="2"/>
        <v>-19.489999999999995</v>
      </c>
      <c r="P34" s="5">
        <f>IFERROR(input_table[[#This Row],[est. profit]]/input_table[[#This Row],[Purchased]],)</f>
        <v>-0.17800712393825915</v>
      </c>
      <c r="Q34"/>
      <c r="V34" s="2"/>
    </row>
    <row r="35" spans="1:22" x14ac:dyDescent="0.25">
      <c r="A35" s="11" t="s">
        <v>9</v>
      </c>
      <c r="B35" s="11" t="s">
        <v>10</v>
      </c>
      <c r="C35" t="s">
        <v>43</v>
      </c>
      <c r="D35">
        <v>7</v>
      </c>
      <c r="E35" s="11" t="s">
        <v>44</v>
      </c>
      <c r="F35" s="3">
        <v>81</v>
      </c>
      <c r="G35" s="1">
        <v>44286</v>
      </c>
      <c r="H35" s="18">
        <v>86</v>
      </c>
      <c r="I35" s="19">
        <v>44330</v>
      </c>
      <c r="J35" s="1" t="s">
        <v>156</v>
      </c>
      <c r="L35">
        <f t="shared" si="0"/>
        <v>44</v>
      </c>
      <c r="M35" t="s">
        <v>69</v>
      </c>
      <c r="N35" s="2">
        <f t="shared" si="1"/>
        <v>5</v>
      </c>
      <c r="O35" s="2">
        <f t="shared" si="2"/>
        <v>5</v>
      </c>
      <c r="P35" s="5">
        <f>IFERROR(input_table[[#This Row],[est. profit]]/input_table[[#This Row],[Purchased]],)</f>
        <v>6.1728395061728392E-2</v>
      </c>
      <c r="Q35"/>
      <c r="V35" s="2"/>
    </row>
    <row r="36" spans="1:22" x14ac:dyDescent="0.25">
      <c r="A36" s="11" t="s">
        <v>9</v>
      </c>
      <c r="B36" s="11" t="s">
        <v>14</v>
      </c>
      <c r="C36" t="s">
        <v>64</v>
      </c>
      <c r="D36">
        <v>10.5</v>
      </c>
      <c r="E36" s="11" t="s">
        <v>97</v>
      </c>
      <c r="F36" s="3">
        <v>115</v>
      </c>
      <c r="G36" s="1">
        <v>44321</v>
      </c>
      <c r="H36" s="18">
        <v>125</v>
      </c>
      <c r="I36" s="19">
        <v>44332</v>
      </c>
      <c r="J36" s="1" t="s">
        <v>156</v>
      </c>
      <c r="L36">
        <f t="shared" si="0"/>
        <v>11</v>
      </c>
      <c r="M36" t="s">
        <v>69</v>
      </c>
      <c r="N36" s="2">
        <f t="shared" si="1"/>
        <v>10</v>
      </c>
      <c r="O36" s="2">
        <f t="shared" si="2"/>
        <v>10</v>
      </c>
      <c r="P36" s="5">
        <f>IFERROR(input_table[[#This Row],[est. profit]]/input_table[[#This Row],[Purchased]],)</f>
        <v>8.6956521739130432E-2</v>
      </c>
      <c r="Q36"/>
      <c r="V36" s="2"/>
    </row>
    <row r="37" spans="1:22" x14ac:dyDescent="0.25">
      <c r="A37" s="11" t="s">
        <v>9</v>
      </c>
      <c r="B37" s="11" t="s">
        <v>14</v>
      </c>
      <c r="C37" t="s">
        <v>64</v>
      </c>
      <c r="E37" s="11" t="s">
        <v>88</v>
      </c>
      <c r="F37" s="3">
        <v>85</v>
      </c>
      <c r="G37" s="1">
        <v>44315</v>
      </c>
      <c r="H37" s="18">
        <v>120</v>
      </c>
      <c r="I37" s="19">
        <v>44335</v>
      </c>
      <c r="J37" s="1" t="s">
        <v>156</v>
      </c>
      <c r="L37">
        <f t="shared" si="0"/>
        <v>20</v>
      </c>
      <c r="M37" t="s">
        <v>67</v>
      </c>
      <c r="N37" s="2">
        <f t="shared" si="1"/>
        <v>35</v>
      </c>
      <c r="O37" s="2">
        <f t="shared" si="2"/>
        <v>35</v>
      </c>
      <c r="P37" s="5">
        <f>IFERROR(input_table[[#This Row],[est. profit]]/input_table[[#This Row],[Purchased]],)</f>
        <v>0.41176470588235292</v>
      </c>
      <c r="Q37"/>
      <c r="V37" s="2"/>
    </row>
    <row r="38" spans="1:22" x14ac:dyDescent="0.25">
      <c r="A38" s="11" t="s">
        <v>9</v>
      </c>
      <c r="B38" s="11" t="s">
        <v>98</v>
      </c>
      <c r="C38" t="s">
        <v>99</v>
      </c>
      <c r="D38">
        <v>12</v>
      </c>
      <c r="E38" s="11" t="s">
        <v>100</v>
      </c>
      <c r="F38" s="3">
        <v>115</v>
      </c>
      <c r="G38" s="1">
        <v>44335</v>
      </c>
      <c r="H38" s="18">
        <v>136</v>
      </c>
      <c r="I38" s="19">
        <v>44336</v>
      </c>
      <c r="J38" s="1" t="s">
        <v>156</v>
      </c>
      <c r="L38">
        <f t="shared" si="0"/>
        <v>1</v>
      </c>
      <c r="M38" t="s">
        <v>69</v>
      </c>
      <c r="N38" s="2">
        <f t="shared" si="1"/>
        <v>21</v>
      </c>
      <c r="O38" s="2">
        <f t="shared" si="2"/>
        <v>21</v>
      </c>
      <c r="P38" s="5">
        <f>IFERROR(input_table[[#This Row],[est. profit]]/input_table[[#This Row],[Purchased]],)</f>
        <v>0.18260869565217391</v>
      </c>
      <c r="Q38"/>
      <c r="V38" s="2"/>
    </row>
    <row r="39" spans="1:22" x14ac:dyDescent="0.25">
      <c r="A39" s="11" t="s">
        <v>9</v>
      </c>
      <c r="B39" s="11" t="s">
        <v>14</v>
      </c>
      <c r="C39" t="s">
        <v>15</v>
      </c>
      <c r="D39">
        <v>7.5</v>
      </c>
      <c r="E39" s="11" t="s">
        <v>83</v>
      </c>
      <c r="F39" s="3">
        <v>105</v>
      </c>
      <c r="G39" s="1">
        <v>44310</v>
      </c>
      <c r="H39" s="18">
        <v>110</v>
      </c>
      <c r="I39" s="19">
        <v>44344</v>
      </c>
      <c r="J39" s="1" t="s">
        <v>156</v>
      </c>
      <c r="L39">
        <f t="shared" si="0"/>
        <v>34</v>
      </c>
      <c r="M39" t="s">
        <v>69</v>
      </c>
      <c r="N39" s="2">
        <f t="shared" si="1"/>
        <v>5</v>
      </c>
      <c r="O39" s="2">
        <f t="shared" si="2"/>
        <v>5</v>
      </c>
      <c r="P39" s="5">
        <f>IFERROR(input_table[[#This Row],[est. profit]]/input_table[[#This Row],[Purchased]],)</f>
        <v>4.7619047619047616E-2</v>
      </c>
      <c r="Q39"/>
      <c r="V39" s="2"/>
    </row>
    <row r="40" spans="1:22" x14ac:dyDescent="0.25">
      <c r="A40" s="11" t="s">
        <v>9</v>
      </c>
      <c r="B40" s="11" t="s">
        <v>10</v>
      </c>
      <c r="C40" t="s">
        <v>20</v>
      </c>
      <c r="D40">
        <v>8</v>
      </c>
      <c r="E40" s="11" t="s">
        <v>105</v>
      </c>
      <c r="F40" s="3">
        <v>95</v>
      </c>
      <c r="G40" s="1">
        <v>44341</v>
      </c>
      <c r="H40" s="18">
        <v>106</v>
      </c>
      <c r="I40" s="19">
        <v>44345</v>
      </c>
      <c r="J40" s="1" t="s">
        <v>156</v>
      </c>
      <c r="L40">
        <f t="shared" si="0"/>
        <v>4</v>
      </c>
      <c r="M40" t="s">
        <v>69</v>
      </c>
      <c r="N40" s="2">
        <f t="shared" si="1"/>
        <v>11</v>
      </c>
      <c r="O40" s="2">
        <f t="shared" si="2"/>
        <v>11</v>
      </c>
      <c r="P40" s="5">
        <f>IFERROR(input_table[[#This Row],[est. profit]]/input_table[[#This Row],[Purchased]],)</f>
        <v>0.11578947368421053</v>
      </c>
      <c r="Q40"/>
      <c r="V40" s="2"/>
    </row>
    <row r="41" spans="1:22" x14ac:dyDescent="0.25">
      <c r="A41" s="11" t="s">
        <v>9</v>
      </c>
      <c r="B41" s="11" t="s">
        <v>10</v>
      </c>
      <c r="C41" t="s">
        <v>103</v>
      </c>
      <c r="D41">
        <v>4.5</v>
      </c>
      <c r="E41" s="11" t="s">
        <v>112</v>
      </c>
      <c r="F41" s="3">
        <v>63</v>
      </c>
      <c r="G41" s="1">
        <v>44344</v>
      </c>
      <c r="H41" s="18">
        <v>108</v>
      </c>
      <c r="I41" s="19">
        <v>44352</v>
      </c>
      <c r="J41" s="1" t="s">
        <v>157</v>
      </c>
      <c r="L41">
        <f t="shared" si="0"/>
        <v>8</v>
      </c>
      <c r="M41" t="s">
        <v>67</v>
      </c>
      <c r="N41" s="2">
        <f t="shared" si="1"/>
        <v>45</v>
      </c>
      <c r="O41" s="2">
        <f t="shared" si="2"/>
        <v>45</v>
      </c>
      <c r="P41" s="5">
        <f>IFERROR(input_table[[#This Row],[est. profit]]/input_table[[#This Row],[Purchased]],)</f>
        <v>0.7142857142857143</v>
      </c>
      <c r="Q41"/>
      <c r="V41" s="2"/>
    </row>
    <row r="42" spans="1:22" x14ac:dyDescent="0.25">
      <c r="A42" s="11" t="s">
        <v>9</v>
      </c>
      <c r="B42" s="11" t="s">
        <v>10</v>
      </c>
      <c r="C42" t="s">
        <v>103</v>
      </c>
      <c r="D42">
        <v>9</v>
      </c>
      <c r="E42" s="11" t="s">
        <v>104</v>
      </c>
      <c r="F42" s="3">
        <v>135</v>
      </c>
      <c r="G42" s="1">
        <v>44352</v>
      </c>
      <c r="H42" s="18">
        <v>166</v>
      </c>
      <c r="I42" s="19">
        <v>44353</v>
      </c>
      <c r="J42" s="1" t="s">
        <v>157</v>
      </c>
      <c r="L42">
        <f t="shared" si="0"/>
        <v>1</v>
      </c>
      <c r="M42" t="s">
        <v>69</v>
      </c>
      <c r="N42" s="2">
        <f t="shared" si="1"/>
        <v>31</v>
      </c>
      <c r="O42" s="2">
        <f t="shared" si="2"/>
        <v>31</v>
      </c>
      <c r="P42" s="5">
        <f>IFERROR(input_table[[#This Row],[est. profit]]/input_table[[#This Row],[Purchased]],)</f>
        <v>0.22962962962962963</v>
      </c>
      <c r="Q42"/>
      <c r="V42" s="2"/>
    </row>
    <row r="43" spans="1:22" x14ac:dyDescent="0.25">
      <c r="A43" s="11" t="s">
        <v>24</v>
      </c>
      <c r="B43" s="11" t="s">
        <v>74</v>
      </c>
      <c r="C43" t="s">
        <v>95</v>
      </c>
      <c r="D43" t="s">
        <v>62</v>
      </c>
      <c r="E43" s="11" t="s">
        <v>75</v>
      </c>
      <c r="F43" s="3">
        <v>189.94</v>
      </c>
      <c r="G43" s="1">
        <v>44300</v>
      </c>
      <c r="H43" s="18">
        <v>250</v>
      </c>
      <c r="I43" s="19">
        <v>44354</v>
      </c>
      <c r="J43" s="1" t="s">
        <v>157</v>
      </c>
      <c r="L43">
        <f t="shared" si="0"/>
        <v>54</v>
      </c>
      <c r="M43" t="s">
        <v>67</v>
      </c>
      <c r="N43" s="2">
        <f t="shared" si="1"/>
        <v>60.06</v>
      </c>
      <c r="O43" s="2">
        <f t="shared" si="2"/>
        <v>60.06</v>
      </c>
      <c r="P43" s="5">
        <f>IFERROR(input_table[[#This Row],[est. profit]]/input_table[[#This Row],[Purchased]],)</f>
        <v>0.31620511740549651</v>
      </c>
      <c r="Q43"/>
      <c r="V43" s="2"/>
    </row>
    <row r="44" spans="1:22" x14ac:dyDescent="0.25">
      <c r="A44" s="11" t="s">
        <v>61</v>
      </c>
      <c r="B44" s="11" t="s">
        <v>10</v>
      </c>
      <c r="C44" t="s">
        <v>106</v>
      </c>
      <c r="D44" t="s">
        <v>107</v>
      </c>
      <c r="E44" s="11" t="s">
        <v>108</v>
      </c>
      <c r="F44" s="3">
        <v>0</v>
      </c>
      <c r="G44" s="1">
        <v>44331</v>
      </c>
      <c r="H44" s="18">
        <v>150</v>
      </c>
      <c r="I44" s="19">
        <v>44354</v>
      </c>
      <c r="J44" s="1" t="s">
        <v>157</v>
      </c>
      <c r="L44">
        <f t="shared" si="0"/>
        <v>23</v>
      </c>
      <c r="M44" t="s">
        <v>109</v>
      </c>
      <c r="N44" s="2">
        <f t="shared" si="1"/>
        <v>150</v>
      </c>
      <c r="O44" s="2">
        <f t="shared" si="2"/>
        <v>150</v>
      </c>
      <c r="P44" s="5">
        <f>IFERROR(input_table[[#This Row],[est. profit]]/input_table[[#This Row],[Purchased]],)</f>
        <v>0</v>
      </c>
      <c r="Q44"/>
      <c r="V44" s="2"/>
    </row>
    <row r="45" spans="1:22" x14ac:dyDescent="0.25">
      <c r="A45" s="11" t="s">
        <v>9</v>
      </c>
      <c r="B45" s="11" t="s">
        <v>10</v>
      </c>
      <c r="C45" t="s">
        <v>103</v>
      </c>
      <c r="D45">
        <v>1.5</v>
      </c>
      <c r="E45" s="11" t="s">
        <v>113</v>
      </c>
      <c r="F45" s="3">
        <v>53</v>
      </c>
      <c r="G45" s="1">
        <v>44344</v>
      </c>
      <c r="H45" s="18">
        <v>70</v>
      </c>
      <c r="I45" s="19">
        <v>44355</v>
      </c>
      <c r="J45" s="1" t="s">
        <v>157</v>
      </c>
      <c r="L45">
        <f t="shared" si="0"/>
        <v>11</v>
      </c>
      <c r="M45" t="s">
        <v>114</v>
      </c>
      <c r="N45" s="2">
        <f t="shared" si="1"/>
        <v>17</v>
      </c>
      <c r="O45" s="2">
        <f t="shared" si="2"/>
        <v>17</v>
      </c>
      <c r="P45" s="5">
        <f>IFERROR(input_table[[#This Row],[est. profit]]/input_table[[#This Row],[Purchased]],)</f>
        <v>0.32075471698113206</v>
      </c>
      <c r="Q45"/>
      <c r="V45" s="2"/>
    </row>
    <row r="46" spans="1:22" x14ac:dyDescent="0.25">
      <c r="A46" s="11" t="s">
        <v>24</v>
      </c>
      <c r="B46" s="11" t="s">
        <v>81</v>
      </c>
      <c r="C46" t="s">
        <v>96</v>
      </c>
      <c r="D46" t="s">
        <v>62</v>
      </c>
      <c r="E46" s="11" t="s">
        <v>82</v>
      </c>
      <c r="F46" s="3">
        <v>249</v>
      </c>
      <c r="G46" s="1">
        <v>44309</v>
      </c>
      <c r="H46" s="18">
        <v>260</v>
      </c>
      <c r="I46" s="19">
        <v>44360</v>
      </c>
      <c r="J46" s="1" t="s">
        <v>157</v>
      </c>
      <c r="L46">
        <f t="shared" si="0"/>
        <v>51</v>
      </c>
      <c r="M46" t="s">
        <v>67</v>
      </c>
      <c r="N46" s="2">
        <f t="shared" si="1"/>
        <v>11</v>
      </c>
      <c r="O46" s="2">
        <f t="shared" si="2"/>
        <v>11</v>
      </c>
      <c r="P46" s="5">
        <f>IFERROR(input_table[[#This Row],[est. profit]]/input_table[[#This Row],[Purchased]],)</f>
        <v>4.4176706827309238E-2</v>
      </c>
      <c r="Q46"/>
      <c r="V46" s="2"/>
    </row>
    <row r="47" spans="1:22" x14ac:dyDescent="0.25">
      <c r="A47" s="11" t="s">
        <v>9</v>
      </c>
      <c r="B47" s="11" t="s">
        <v>14</v>
      </c>
      <c r="C47">
        <v>6</v>
      </c>
      <c r="D47">
        <v>8.5</v>
      </c>
      <c r="E47" s="11" t="s">
        <v>115</v>
      </c>
      <c r="F47" s="3">
        <v>165</v>
      </c>
      <c r="G47" s="1">
        <v>44356</v>
      </c>
      <c r="H47" s="18">
        <v>180</v>
      </c>
      <c r="I47" s="19">
        <v>44361</v>
      </c>
      <c r="J47" s="1" t="s">
        <v>157</v>
      </c>
      <c r="L47">
        <f t="shared" si="0"/>
        <v>5</v>
      </c>
      <c r="M47" t="s">
        <v>109</v>
      </c>
      <c r="N47" s="2">
        <f t="shared" si="1"/>
        <v>15</v>
      </c>
      <c r="O47" s="2">
        <f t="shared" si="2"/>
        <v>15</v>
      </c>
      <c r="P47" s="5">
        <f>IFERROR(input_table[[#This Row],[est. profit]]/input_table[[#This Row],[Purchased]],)</f>
        <v>9.0909090909090912E-2</v>
      </c>
      <c r="Q47"/>
      <c r="V47" s="2"/>
    </row>
    <row r="48" spans="1:22" x14ac:dyDescent="0.25">
      <c r="A48" s="11" t="s">
        <v>9</v>
      </c>
      <c r="B48" s="11" t="s">
        <v>169</v>
      </c>
      <c r="C48" t="s">
        <v>171</v>
      </c>
      <c r="D48">
        <v>12</v>
      </c>
      <c r="E48" s="11" t="s">
        <v>119</v>
      </c>
      <c r="F48" s="3">
        <v>185</v>
      </c>
      <c r="G48" s="1">
        <v>44365</v>
      </c>
      <c r="H48" s="18">
        <v>185</v>
      </c>
      <c r="I48" s="19">
        <v>44366</v>
      </c>
      <c r="J48" s="1" t="s">
        <v>157</v>
      </c>
      <c r="L48">
        <f t="shared" si="0"/>
        <v>1</v>
      </c>
      <c r="M48" t="s">
        <v>69</v>
      </c>
      <c r="N48" s="2">
        <f t="shared" si="1"/>
        <v>0</v>
      </c>
      <c r="O48" s="2">
        <f t="shared" si="2"/>
        <v>0</v>
      </c>
      <c r="P48" s="5">
        <f>IFERROR(input_table[[#This Row],[est. profit]]/input_table[[#This Row],[Purchased]],)</f>
        <v>0</v>
      </c>
      <c r="Q48"/>
      <c r="V48" s="2"/>
    </row>
    <row r="49" spans="1:22" x14ac:dyDescent="0.25">
      <c r="A49" s="11" t="s">
        <v>9</v>
      </c>
      <c r="B49" s="11" t="s">
        <v>169</v>
      </c>
      <c r="C49" t="s">
        <v>171</v>
      </c>
      <c r="D49">
        <v>13</v>
      </c>
      <c r="E49" s="11" t="s">
        <v>119</v>
      </c>
      <c r="F49" s="3">
        <v>180</v>
      </c>
      <c r="G49" s="1">
        <v>44365</v>
      </c>
      <c r="H49" s="18">
        <v>180</v>
      </c>
      <c r="I49" s="19">
        <v>44371</v>
      </c>
      <c r="J49" s="1" t="s">
        <v>157</v>
      </c>
      <c r="L49">
        <f t="shared" si="0"/>
        <v>6</v>
      </c>
      <c r="M49" t="s">
        <v>69</v>
      </c>
      <c r="N49" s="2">
        <f t="shared" si="1"/>
        <v>0</v>
      </c>
      <c r="O49" s="2">
        <f t="shared" si="2"/>
        <v>0</v>
      </c>
      <c r="P49" s="5">
        <f>IFERROR(input_table[[#This Row],[est. profit]]/input_table[[#This Row],[Purchased]],)</f>
        <v>0</v>
      </c>
      <c r="Q49"/>
      <c r="V49" s="2"/>
    </row>
    <row r="50" spans="1:22" x14ac:dyDescent="0.25">
      <c r="A50" s="11" t="s">
        <v>9</v>
      </c>
      <c r="B50" s="11" t="s">
        <v>120</v>
      </c>
      <c r="C50" t="s">
        <v>121</v>
      </c>
      <c r="D50">
        <v>9.5</v>
      </c>
      <c r="E50" s="11" t="s">
        <v>122</v>
      </c>
      <c r="F50" s="3">
        <v>93</v>
      </c>
      <c r="G50" s="1">
        <v>44365</v>
      </c>
      <c r="H50" s="18">
        <v>95</v>
      </c>
      <c r="I50" s="19">
        <v>44371</v>
      </c>
      <c r="J50" s="1" t="s">
        <v>157</v>
      </c>
      <c r="L50">
        <f t="shared" si="0"/>
        <v>6</v>
      </c>
      <c r="M50" t="s">
        <v>69</v>
      </c>
      <c r="N50" s="2">
        <f t="shared" si="1"/>
        <v>2</v>
      </c>
      <c r="O50" s="2">
        <f t="shared" si="2"/>
        <v>2</v>
      </c>
      <c r="P50" s="5">
        <f>IFERROR(input_table[[#This Row],[est. profit]]/input_table[[#This Row],[Purchased]],)</f>
        <v>2.1505376344086023E-2</v>
      </c>
      <c r="Q50"/>
      <c r="V50" s="2"/>
    </row>
    <row r="51" spans="1:22" x14ac:dyDescent="0.25">
      <c r="A51" s="11" t="s">
        <v>9</v>
      </c>
      <c r="B51" s="11" t="s">
        <v>10</v>
      </c>
      <c r="C51" t="s">
        <v>103</v>
      </c>
      <c r="D51">
        <v>2</v>
      </c>
      <c r="E51" s="11" t="s">
        <v>112</v>
      </c>
      <c r="F51" s="3">
        <v>53</v>
      </c>
      <c r="G51" s="1">
        <v>44344</v>
      </c>
      <c r="H51" s="18">
        <v>53</v>
      </c>
      <c r="I51" s="19">
        <v>44373</v>
      </c>
      <c r="J51" s="1" t="s">
        <v>157</v>
      </c>
      <c r="L51">
        <f t="shared" si="0"/>
        <v>29</v>
      </c>
      <c r="M51" t="s">
        <v>87</v>
      </c>
      <c r="N51" s="2">
        <f t="shared" si="1"/>
        <v>0</v>
      </c>
      <c r="O51" s="2">
        <f t="shared" si="2"/>
        <v>0</v>
      </c>
      <c r="P51" s="5">
        <f>IFERROR(input_table[[#This Row],[est. profit]]/input_table[[#This Row],[Purchased]],)</f>
        <v>0</v>
      </c>
      <c r="Q51"/>
      <c r="V51" s="2"/>
    </row>
    <row r="52" spans="1:22" x14ac:dyDescent="0.25">
      <c r="A52" s="11" t="s">
        <v>9</v>
      </c>
      <c r="B52" s="11" t="s">
        <v>10</v>
      </c>
      <c r="C52" t="s">
        <v>103</v>
      </c>
      <c r="D52">
        <v>2</v>
      </c>
      <c r="E52" s="11" t="s">
        <v>112</v>
      </c>
      <c r="F52" s="3">
        <v>53</v>
      </c>
      <c r="G52" s="1">
        <v>44344</v>
      </c>
      <c r="H52" s="18">
        <v>53</v>
      </c>
      <c r="I52" s="19">
        <v>44373</v>
      </c>
      <c r="J52" s="1" t="s">
        <v>157</v>
      </c>
      <c r="L52">
        <f t="shared" si="0"/>
        <v>29</v>
      </c>
      <c r="M52" t="s">
        <v>87</v>
      </c>
      <c r="N52" s="2">
        <f t="shared" si="1"/>
        <v>0</v>
      </c>
      <c r="O52" s="2">
        <f t="shared" si="2"/>
        <v>0</v>
      </c>
      <c r="P52" s="5">
        <f>IFERROR(input_table[[#This Row],[est. profit]]/input_table[[#This Row],[Purchased]],)</f>
        <v>0</v>
      </c>
      <c r="Q52"/>
      <c r="V52" s="2"/>
    </row>
    <row r="53" spans="1:22" x14ac:dyDescent="0.25">
      <c r="A53" s="11" t="s">
        <v>9</v>
      </c>
      <c r="B53" s="11" t="s">
        <v>10</v>
      </c>
      <c r="C53" t="s">
        <v>103</v>
      </c>
      <c r="D53">
        <v>2</v>
      </c>
      <c r="E53" s="11" t="s">
        <v>112</v>
      </c>
      <c r="F53" s="3">
        <v>53</v>
      </c>
      <c r="G53" s="1">
        <v>44344</v>
      </c>
      <c r="H53" s="18">
        <v>53</v>
      </c>
      <c r="I53" s="19">
        <v>44373</v>
      </c>
      <c r="J53" s="1" t="s">
        <v>157</v>
      </c>
      <c r="L53">
        <f t="shared" si="0"/>
        <v>29</v>
      </c>
      <c r="M53" t="s">
        <v>87</v>
      </c>
      <c r="N53" s="2">
        <f t="shared" si="1"/>
        <v>0</v>
      </c>
      <c r="O53" s="2">
        <f t="shared" si="2"/>
        <v>0</v>
      </c>
      <c r="P53" s="5">
        <f>IFERROR(input_table[[#This Row],[est. profit]]/input_table[[#This Row],[Purchased]],)</f>
        <v>0</v>
      </c>
      <c r="Q53"/>
      <c r="V53" s="2"/>
    </row>
    <row r="54" spans="1:22" x14ac:dyDescent="0.25">
      <c r="A54" s="11" t="s">
        <v>125</v>
      </c>
      <c r="B54" s="11" t="s">
        <v>120</v>
      </c>
      <c r="C54" t="s">
        <v>126</v>
      </c>
      <c r="D54" t="s">
        <v>127</v>
      </c>
      <c r="E54" s="11" t="s">
        <v>128</v>
      </c>
      <c r="F54" s="3">
        <v>43</v>
      </c>
      <c r="G54" s="1">
        <v>44371</v>
      </c>
      <c r="H54" s="18">
        <v>63</v>
      </c>
      <c r="I54" s="19">
        <v>44374</v>
      </c>
      <c r="J54" s="1" t="s">
        <v>157</v>
      </c>
      <c r="L54">
        <f t="shared" si="0"/>
        <v>3</v>
      </c>
      <c r="M54" t="s">
        <v>68</v>
      </c>
      <c r="N54" s="2">
        <f t="shared" si="1"/>
        <v>20</v>
      </c>
      <c r="O54" s="2">
        <f t="shared" si="2"/>
        <v>20</v>
      </c>
      <c r="P54" s="5">
        <f>IFERROR(input_table[[#This Row],[est. profit]]/input_table[[#This Row],[Purchased]],)</f>
        <v>0.46511627906976744</v>
      </c>
      <c r="Q54"/>
      <c r="V54" s="2"/>
    </row>
    <row r="55" spans="1:22" x14ac:dyDescent="0.25">
      <c r="A55" s="11" t="s">
        <v>24</v>
      </c>
      <c r="B55" s="11" t="s">
        <v>38</v>
      </c>
      <c r="C55" t="s">
        <v>39</v>
      </c>
      <c r="D55" t="s">
        <v>62</v>
      </c>
      <c r="E55" s="11" t="s">
        <v>40</v>
      </c>
      <c r="F55" s="3">
        <v>110</v>
      </c>
      <c r="G55" s="1">
        <v>44295</v>
      </c>
      <c r="H55" s="18">
        <v>160</v>
      </c>
      <c r="I55" s="19">
        <v>44382</v>
      </c>
      <c r="J55" s="1" t="s">
        <v>158</v>
      </c>
      <c r="L55">
        <f t="shared" si="0"/>
        <v>87</v>
      </c>
      <c r="M55" t="s">
        <v>76</v>
      </c>
      <c r="N55" s="2">
        <f t="shared" si="1"/>
        <v>50</v>
      </c>
      <c r="O55" s="2">
        <f t="shared" si="2"/>
        <v>50</v>
      </c>
      <c r="P55" s="5">
        <f>IFERROR(input_table[[#This Row],[est. profit]]/input_table[[#This Row],[Purchased]],)</f>
        <v>0.45454545454545453</v>
      </c>
      <c r="Q55"/>
      <c r="V55" s="2"/>
    </row>
    <row r="56" spans="1:22" x14ac:dyDescent="0.25">
      <c r="A56" s="11" t="s">
        <v>125</v>
      </c>
      <c r="B56" s="11" t="s">
        <v>120</v>
      </c>
      <c r="C56" t="s">
        <v>129</v>
      </c>
      <c r="D56" t="s">
        <v>130</v>
      </c>
      <c r="E56" s="11" t="s">
        <v>131</v>
      </c>
      <c r="F56" s="3">
        <v>43</v>
      </c>
      <c r="G56" s="1">
        <v>44371</v>
      </c>
      <c r="H56" s="18">
        <v>46</v>
      </c>
      <c r="I56" s="19">
        <v>44383</v>
      </c>
      <c r="J56" s="1" t="s">
        <v>158</v>
      </c>
      <c r="L56">
        <f t="shared" si="0"/>
        <v>12</v>
      </c>
      <c r="M56" t="s">
        <v>68</v>
      </c>
      <c r="N56" s="2">
        <f t="shared" si="1"/>
        <v>3</v>
      </c>
      <c r="O56" s="2">
        <f t="shared" si="2"/>
        <v>3</v>
      </c>
      <c r="P56" s="5">
        <f>IFERROR(input_table[[#This Row],[est. profit]]/input_table[[#This Row],[Purchased]],)</f>
        <v>6.9767441860465115E-2</v>
      </c>
      <c r="Q56"/>
      <c r="V56" s="2"/>
    </row>
    <row r="57" spans="1:22" x14ac:dyDescent="0.25">
      <c r="A57" s="11" t="s">
        <v>9</v>
      </c>
      <c r="B57" s="11" t="s">
        <v>10</v>
      </c>
      <c r="C57" t="s">
        <v>43</v>
      </c>
      <c r="D57">
        <v>7</v>
      </c>
      <c r="E57" s="11" t="s">
        <v>44</v>
      </c>
      <c r="F57" s="3">
        <v>81</v>
      </c>
      <c r="G57" s="1">
        <v>44286</v>
      </c>
      <c r="H57" s="18">
        <v>56</v>
      </c>
      <c r="I57" s="19">
        <v>44384</v>
      </c>
      <c r="J57" s="1" t="s">
        <v>158</v>
      </c>
      <c r="L57">
        <f t="shared" si="0"/>
        <v>98</v>
      </c>
      <c r="M57" t="s">
        <v>68</v>
      </c>
      <c r="N57" s="2">
        <f t="shared" si="1"/>
        <v>-25</v>
      </c>
      <c r="O57" s="2">
        <f t="shared" si="2"/>
        <v>-25</v>
      </c>
      <c r="P57" s="5">
        <f>IFERROR(input_table[[#This Row],[est. profit]]/input_table[[#This Row],[Purchased]],)</f>
        <v>-0.30864197530864196</v>
      </c>
      <c r="Q57"/>
      <c r="V57" s="2"/>
    </row>
    <row r="58" spans="1:22" x14ac:dyDescent="0.25">
      <c r="A58" s="11" t="s">
        <v>9</v>
      </c>
      <c r="B58" s="11" t="s">
        <v>120</v>
      </c>
      <c r="C58" t="s">
        <v>43</v>
      </c>
      <c r="D58">
        <v>9.5</v>
      </c>
      <c r="E58" s="11" t="s">
        <v>138</v>
      </c>
      <c r="F58" s="3">
        <v>100</v>
      </c>
      <c r="G58" s="1">
        <v>44377</v>
      </c>
      <c r="H58" s="18">
        <v>120</v>
      </c>
      <c r="I58" s="19">
        <v>44386</v>
      </c>
      <c r="J58" s="1" t="s">
        <v>158</v>
      </c>
      <c r="L58">
        <f t="shared" si="0"/>
        <v>9</v>
      </c>
      <c r="M58" t="s">
        <v>109</v>
      </c>
      <c r="N58" s="2">
        <f t="shared" si="1"/>
        <v>20</v>
      </c>
      <c r="O58" s="2">
        <f t="shared" si="2"/>
        <v>20</v>
      </c>
      <c r="P58" s="5">
        <f>IFERROR(input_table[[#This Row],[est. profit]]/input_table[[#This Row],[Purchased]],)</f>
        <v>0.2</v>
      </c>
      <c r="Q58"/>
      <c r="V58" s="2"/>
    </row>
    <row r="59" spans="1:22" x14ac:dyDescent="0.25">
      <c r="A59" s="11" t="s">
        <v>9</v>
      </c>
      <c r="B59" s="11" t="s">
        <v>14</v>
      </c>
      <c r="C59">
        <v>6</v>
      </c>
      <c r="D59">
        <v>11</v>
      </c>
      <c r="E59" s="11" t="s">
        <v>123</v>
      </c>
      <c r="F59" s="3">
        <v>122</v>
      </c>
      <c r="G59" s="1">
        <v>44375</v>
      </c>
      <c r="H59" s="18">
        <v>138</v>
      </c>
      <c r="I59" s="19">
        <v>44387</v>
      </c>
      <c r="J59" s="1" t="s">
        <v>158</v>
      </c>
      <c r="L59">
        <f t="shared" si="0"/>
        <v>12</v>
      </c>
      <c r="M59" t="s">
        <v>69</v>
      </c>
      <c r="N59" s="2">
        <f t="shared" si="1"/>
        <v>16</v>
      </c>
      <c r="O59" s="2">
        <f t="shared" si="2"/>
        <v>16</v>
      </c>
      <c r="P59" s="5">
        <f>IFERROR(input_table[[#This Row],[est. profit]]/input_table[[#This Row],[Purchased]],)</f>
        <v>0.13114754098360656</v>
      </c>
      <c r="Q59"/>
      <c r="V59" s="2"/>
    </row>
    <row r="60" spans="1:22" x14ac:dyDescent="0.25">
      <c r="A60" s="11" t="s">
        <v>125</v>
      </c>
      <c r="B60" s="11" t="s">
        <v>120</v>
      </c>
      <c r="C60" t="s">
        <v>132</v>
      </c>
      <c r="D60" t="s">
        <v>127</v>
      </c>
      <c r="E60" s="11" t="s">
        <v>133</v>
      </c>
      <c r="F60" s="3">
        <v>43</v>
      </c>
      <c r="G60" s="1">
        <v>44371</v>
      </c>
      <c r="H60" s="18">
        <v>48</v>
      </c>
      <c r="I60" s="19">
        <v>44393</v>
      </c>
      <c r="J60" s="1" t="s">
        <v>158</v>
      </c>
      <c r="L60">
        <f t="shared" si="0"/>
        <v>22</v>
      </c>
      <c r="M60" t="s">
        <v>68</v>
      </c>
      <c r="N60" s="2">
        <f t="shared" si="1"/>
        <v>5</v>
      </c>
      <c r="O60" s="2">
        <f t="shared" si="2"/>
        <v>5</v>
      </c>
      <c r="P60" s="5">
        <f>IFERROR(input_table[[#This Row],[est. profit]]/input_table[[#This Row],[Purchased]],)</f>
        <v>0.11627906976744186</v>
      </c>
      <c r="Q60"/>
      <c r="V60" s="2"/>
    </row>
    <row r="61" spans="1:22" x14ac:dyDescent="0.25">
      <c r="A61" s="11" t="s">
        <v>24</v>
      </c>
      <c r="B61" s="11" t="s">
        <v>110</v>
      </c>
      <c r="C61" t="s">
        <v>96</v>
      </c>
      <c r="E61" s="11" t="s">
        <v>111</v>
      </c>
      <c r="F61" s="3">
        <v>72</v>
      </c>
      <c r="G61" s="1">
        <v>44342</v>
      </c>
      <c r="H61" s="18">
        <v>140</v>
      </c>
      <c r="I61" s="19">
        <v>44394</v>
      </c>
      <c r="J61" s="1" t="s">
        <v>158</v>
      </c>
      <c r="L61">
        <f t="shared" si="0"/>
        <v>52</v>
      </c>
      <c r="M61" t="s">
        <v>76</v>
      </c>
      <c r="N61" s="2">
        <f t="shared" si="1"/>
        <v>68</v>
      </c>
      <c r="O61" s="2">
        <f t="shared" si="2"/>
        <v>68</v>
      </c>
      <c r="P61" s="5">
        <f>IFERROR(input_table[[#This Row],[est. profit]]/input_table[[#This Row],[Purchased]],)</f>
        <v>0.94444444444444442</v>
      </c>
      <c r="Q61"/>
      <c r="V61" s="2"/>
    </row>
    <row r="62" spans="1:22" x14ac:dyDescent="0.25">
      <c r="A62" s="11" t="s">
        <v>24</v>
      </c>
      <c r="B62" s="11" t="s">
        <v>116</v>
      </c>
      <c r="C62" t="s">
        <v>117</v>
      </c>
      <c r="E62" s="11" t="s">
        <v>142</v>
      </c>
      <c r="F62" s="3">
        <v>409</v>
      </c>
      <c r="G62" s="1">
        <v>44384</v>
      </c>
      <c r="H62" s="18">
        <v>490</v>
      </c>
      <c r="I62" s="19">
        <v>44395</v>
      </c>
      <c r="J62" s="1" t="s">
        <v>158</v>
      </c>
      <c r="L62">
        <f t="shared" si="0"/>
        <v>11</v>
      </c>
      <c r="M62" t="s">
        <v>109</v>
      </c>
      <c r="N62" s="2">
        <f t="shared" si="1"/>
        <v>81</v>
      </c>
      <c r="O62" s="2">
        <f t="shared" si="2"/>
        <v>81</v>
      </c>
      <c r="P62" s="5">
        <f>IFERROR(input_table[[#This Row],[est. profit]]/input_table[[#This Row],[Purchased]],)</f>
        <v>0.1980440097799511</v>
      </c>
      <c r="Q62"/>
      <c r="V62" s="2"/>
    </row>
    <row r="63" spans="1:22" x14ac:dyDescent="0.25">
      <c r="A63" s="11" t="s">
        <v>9</v>
      </c>
      <c r="B63" s="11" t="s">
        <v>169</v>
      </c>
      <c r="C63" t="s">
        <v>171</v>
      </c>
      <c r="D63">
        <v>4</v>
      </c>
      <c r="E63" s="11" t="s">
        <v>119</v>
      </c>
      <c r="F63" s="3">
        <v>185</v>
      </c>
      <c r="G63" s="1">
        <v>44365</v>
      </c>
      <c r="H63" s="18">
        <v>185</v>
      </c>
      <c r="I63" s="19">
        <v>44399</v>
      </c>
      <c r="J63" s="1" t="s">
        <v>158</v>
      </c>
      <c r="L63">
        <f t="shared" si="0"/>
        <v>34</v>
      </c>
      <c r="M63" t="s">
        <v>87</v>
      </c>
      <c r="N63" s="2">
        <f t="shared" si="1"/>
        <v>0</v>
      </c>
      <c r="O63" s="2">
        <f t="shared" si="2"/>
        <v>0</v>
      </c>
      <c r="P63" s="5">
        <f>IFERROR(input_table[[#This Row],[est. profit]]/input_table[[#This Row],[Purchased]],)</f>
        <v>0</v>
      </c>
      <c r="Q63"/>
      <c r="V63" s="2"/>
    </row>
    <row r="64" spans="1:22" x14ac:dyDescent="0.25">
      <c r="A64" s="11" t="s">
        <v>9</v>
      </c>
      <c r="B64" s="11" t="s">
        <v>14</v>
      </c>
      <c r="C64" t="s">
        <v>64</v>
      </c>
      <c r="D64">
        <v>4.5</v>
      </c>
      <c r="E64" s="11" t="s">
        <v>124</v>
      </c>
      <c r="F64" s="3">
        <v>55</v>
      </c>
      <c r="G64" s="1">
        <v>44383</v>
      </c>
      <c r="H64" s="18">
        <v>70</v>
      </c>
      <c r="I64" s="19">
        <v>44403</v>
      </c>
      <c r="J64" s="1" t="s">
        <v>158</v>
      </c>
      <c r="L64">
        <f t="shared" si="0"/>
        <v>20</v>
      </c>
      <c r="M64" t="s">
        <v>68</v>
      </c>
      <c r="N64" s="2">
        <f t="shared" si="1"/>
        <v>15</v>
      </c>
      <c r="O64" s="2">
        <f t="shared" si="2"/>
        <v>15</v>
      </c>
      <c r="P64" s="5">
        <f>IFERROR(input_table[[#This Row],[est. profit]]/input_table[[#This Row],[Purchased]],)</f>
        <v>0.27272727272727271</v>
      </c>
      <c r="Q64"/>
      <c r="V64" s="2"/>
    </row>
    <row r="65" spans="1:22" x14ac:dyDescent="0.25">
      <c r="A65" s="11" t="s">
        <v>9</v>
      </c>
      <c r="B65" s="11" t="s">
        <v>14</v>
      </c>
      <c r="C65" t="s">
        <v>79</v>
      </c>
      <c r="D65">
        <v>4.5</v>
      </c>
      <c r="E65" s="11" t="s">
        <v>139</v>
      </c>
      <c r="F65" s="3">
        <v>120</v>
      </c>
      <c r="G65" s="1">
        <v>44401</v>
      </c>
      <c r="H65" s="18">
        <v>140</v>
      </c>
      <c r="I65" s="19">
        <v>44403</v>
      </c>
      <c r="J65" s="1" t="s">
        <v>158</v>
      </c>
      <c r="L65">
        <f t="shared" si="0"/>
        <v>2</v>
      </c>
      <c r="M65" t="s">
        <v>69</v>
      </c>
      <c r="N65" s="2">
        <f t="shared" si="1"/>
        <v>20</v>
      </c>
      <c r="O65" s="2">
        <f t="shared" si="2"/>
        <v>20</v>
      </c>
      <c r="P65" s="5">
        <f>IFERROR(input_table[[#This Row],[est. profit]]/input_table[[#This Row],[Purchased]],)</f>
        <v>0.16666666666666666</v>
      </c>
      <c r="Q65"/>
      <c r="V65" s="2"/>
    </row>
    <row r="66" spans="1:22" x14ac:dyDescent="0.25">
      <c r="A66" s="11" t="s">
        <v>61</v>
      </c>
      <c r="B66" s="11" t="s">
        <v>14</v>
      </c>
      <c r="C66" t="s">
        <v>89</v>
      </c>
      <c r="D66">
        <v>8.5</v>
      </c>
      <c r="E66" s="11" t="s">
        <v>90</v>
      </c>
      <c r="F66" s="3">
        <v>0</v>
      </c>
      <c r="G66" s="1">
        <v>44316</v>
      </c>
      <c r="H66" s="18">
        <v>330</v>
      </c>
      <c r="I66" s="19">
        <v>44404</v>
      </c>
      <c r="J66" s="1" t="s">
        <v>158</v>
      </c>
      <c r="L66">
        <f t="shared" ref="L66:L129" si="3">IF(I66&lt;&gt;"",I66-G66,"")</f>
        <v>88</v>
      </c>
      <c r="M66" t="s">
        <v>69</v>
      </c>
      <c r="N66" s="2">
        <f t="shared" ref="N66:N129" si="4">(K66+H66)-F66</f>
        <v>330</v>
      </c>
      <c r="O66" s="2">
        <f t="shared" ref="O66:O129" si="5">IF(H66&lt;&gt;"",H66-F66,"")</f>
        <v>330</v>
      </c>
      <c r="P66" s="5">
        <f>IFERROR(input_table[[#This Row],[est. profit]]/input_table[[#This Row],[Purchased]],)</f>
        <v>0</v>
      </c>
      <c r="Q66"/>
      <c r="V66" s="2"/>
    </row>
    <row r="67" spans="1:22" x14ac:dyDescent="0.25">
      <c r="A67" s="11" t="s">
        <v>9</v>
      </c>
      <c r="B67" s="11" t="s">
        <v>10</v>
      </c>
      <c r="C67" t="s">
        <v>140</v>
      </c>
      <c r="D67">
        <v>5</v>
      </c>
      <c r="E67" s="11" t="s">
        <v>141</v>
      </c>
      <c r="F67" s="3">
        <v>50</v>
      </c>
      <c r="G67" s="1">
        <v>44401</v>
      </c>
      <c r="H67" s="18">
        <v>64</v>
      </c>
      <c r="I67" s="19">
        <v>44404</v>
      </c>
      <c r="J67" s="1" t="s">
        <v>158</v>
      </c>
      <c r="L67">
        <f t="shared" si="3"/>
        <v>3</v>
      </c>
      <c r="M67" t="s">
        <v>69</v>
      </c>
      <c r="N67" s="2">
        <f t="shared" si="4"/>
        <v>14</v>
      </c>
      <c r="O67" s="2">
        <f t="shared" si="5"/>
        <v>14</v>
      </c>
      <c r="P67" s="5">
        <f>IFERROR(input_table[[#This Row],[est. profit]]/input_table[[#This Row],[Purchased]],)</f>
        <v>0.28000000000000003</v>
      </c>
      <c r="Q67"/>
      <c r="V67" s="2"/>
    </row>
    <row r="68" spans="1:22" x14ac:dyDescent="0.25">
      <c r="A68" s="11" t="s">
        <v>9</v>
      </c>
      <c r="B68" s="11" t="s">
        <v>10</v>
      </c>
      <c r="C68" t="s">
        <v>173</v>
      </c>
      <c r="D68">
        <v>8</v>
      </c>
      <c r="E68" s="11" t="s">
        <v>101</v>
      </c>
      <c r="F68" s="3">
        <v>105</v>
      </c>
      <c r="G68" s="1">
        <v>44336</v>
      </c>
      <c r="H68" s="18">
        <v>105</v>
      </c>
      <c r="I68" s="19">
        <v>44405</v>
      </c>
      <c r="J68" s="1" t="s">
        <v>158</v>
      </c>
      <c r="L68">
        <f t="shared" si="3"/>
        <v>69</v>
      </c>
      <c r="M68" t="s">
        <v>87</v>
      </c>
      <c r="N68" s="2">
        <f t="shared" si="4"/>
        <v>0</v>
      </c>
      <c r="O68" s="2">
        <f t="shared" si="5"/>
        <v>0</v>
      </c>
      <c r="P68" s="5">
        <f>IFERROR(input_table[[#This Row],[est. profit]]/input_table[[#This Row],[Purchased]],)</f>
        <v>0</v>
      </c>
      <c r="Q68"/>
      <c r="V68" s="2"/>
    </row>
    <row r="69" spans="1:22" x14ac:dyDescent="0.25">
      <c r="A69" s="11" t="s">
        <v>9</v>
      </c>
      <c r="B69" s="11" t="s">
        <v>10</v>
      </c>
      <c r="C69" t="s">
        <v>173</v>
      </c>
      <c r="D69">
        <v>4</v>
      </c>
      <c r="E69" s="11" t="s">
        <v>102</v>
      </c>
      <c r="F69" s="3">
        <v>105</v>
      </c>
      <c r="G69" s="1">
        <v>44336</v>
      </c>
      <c r="H69" s="18">
        <v>105</v>
      </c>
      <c r="I69" s="19">
        <v>44405</v>
      </c>
      <c r="J69" s="1" t="s">
        <v>158</v>
      </c>
      <c r="L69">
        <f t="shared" si="3"/>
        <v>69</v>
      </c>
      <c r="M69" t="s">
        <v>87</v>
      </c>
      <c r="N69" s="2">
        <f t="shared" si="4"/>
        <v>0</v>
      </c>
      <c r="O69" s="2">
        <f t="shared" si="5"/>
        <v>0</v>
      </c>
      <c r="P69" s="5">
        <f>IFERROR(input_table[[#This Row],[est. profit]]/input_table[[#This Row],[Purchased]],)</f>
        <v>0</v>
      </c>
      <c r="Q69"/>
      <c r="V69" s="2"/>
    </row>
    <row r="70" spans="1:22" x14ac:dyDescent="0.25">
      <c r="A70" s="11" t="s">
        <v>9</v>
      </c>
      <c r="B70" s="11" t="s">
        <v>14</v>
      </c>
      <c r="C70" t="s">
        <v>15</v>
      </c>
      <c r="D70">
        <v>8</v>
      </c>
      <c r="E70" s="11" t="s">
        <v>134</v>
      </c>
      <c r="F70" s="3">
        <v>110</v>
      </c>
      <c r="G70" s="1">
        <v>44392</v>
      </c>
      <c r="H70" s="18">
        <v>130</v>
      </c>
      <c r="I70" s="19">
        <v>44405</v>
      </c>
      <c r="J70" s="1" t="s">
        <v>158</v>
      </c>
      <c r="L70">
        <f t="shared" si="3"/>
        <v>13</v>
      </c>
      <c r="M70" t="s">
        <v>114</v>
      </c>
      <c r="N70" s="2">
        <f t="shared" si="4"/>
        <v>20</v>
      </c>
      <c r="O70" s="2">
        <f t="shared" si="5"/>
        <v>20</v>
      </c>
      <c r="P70" s="5">
        <f>IFERROR(input_table[[#This Row],[est. profit]]/input_table[[#This Row],[Purchased]],)</f>
        <v>0.18181818181818182</v>
      </c>
      <c r="Q70"/>
      <c r="V70" s="2"/>
    </row>
    <row r="71" spans="1:22" x14ac:dyDescent="0.25">
      <c r="A71" s="11" t="s">
        <v>9</v>
      </c>
      <c r="B71" s="11" t="s">
        <v>14</v>
      </c>
      <c r="C71" t="s">
        <v>15</v>
      </c>
      <c r="D71">
        <v>7.5</v>
      </c>
      <c r="E71" s="11" t="s">
        <v>134</v>
      </c>
      <c r="F71" s="3">
        <v>110</v>
      </c>
      <c r="G71" s="1">
        <v>44392</v>
      </c>
      <c r="H71" s="18">
        <v>140</v>
      </c>
      <c r="I71" s="19">
        <v>44406</v>
      </c>
      <c r="J71" s="1" t="s">
        <v>158</v>
      </c>
      <c r="L71">
        <f t="shared" si="3"/>
        <v>14</v>
      </c>
      <c r="M71" t="s">
        <v>68</v>
      </c>
      <c r="N71" s="2">
        <f t="shared" si="4"/>
        <v>30</v>
      </c>
      <c r="O71" s="2">
        <f t="shared" si="5"/>
        <v>30</v>
      </c>
      <c r="P71" s="5">
        <f>IFERROR(input_table[[#This Row],[est. profit]]/input_table[[#This Row],[Purchased]],)</f>
        <v>0.27272727272727271</v>
      </c>
      <c r="Q71"/>
      <c r="V71" s="2"/>
    </row>
    <row r="72" spans="1:22" x14ac:dyDescent="0.25">
      <c r="A72" s="11" t="s">
        <v>9</v>
      </c>
      <c r="B72" s="11" t="s">
        <v>14</v>
      </c>
      <c r="C72" t="s">
        <v>79</v>
      </c>
      <c r="D72">
        <v>6.5</v>
      </c>
      <c r="E72" s="11" t="s">
        <v>80</v>
      </c>
      <c r="F72" s="3">
        <v>125</v>
      </c>
      <c r="G72" s="1">
        <v>44306</v>
      </c>
      <c r="H72" s="18">
        <v>125</v>
      </c>
      <c r="I72" s="19">
        <v>44414</v>
      </c>
      <c r="J72" s="1" t="s">
        <v>196</v>
      </c>
      <c r="L72">
        <f t="shared" si="3"/>
        <v>108</v>
      </c>
      <c r="M72" t="s">
        <v>163</v>
      </c>
      <c r="N72" s="2">
        <f t="shared" si="4"/>
        <v>0</v>
      </c>
      <c r="O72" s="2">
        <f t="shared" si="5"/>
        <v>0</v>
      </c>
      <c r="P72" s="5">
        <f>IFERROR(input_table[[#This Row],[est. profit]]/input_table[[#This Row],[Purchased]],)</f>
        <v>0</v>
      </c>
      <c r="Q72"/>
      <c r="V72" s="2"/>
    </row>
    <row r="73" spans="1:22" x14ac:dyDescent="0.25">
      <c r="A73" s="11" t="s">
        <v>94</v>
      </c>
      <c r="B73" s="11" t="s">
        <v>136</v>
      </c>
      <c r="C73" t="s">
        <v>137</v>
      </c>
      <c r="D73" t="s">
        <v>127</v>
      </c>
      <c r="E73" s="11" t="s">
        <v>138</v>
      </c>
      <c r="F73" s="3">
        <v>0</v>
      </c>
      <c r="G73" s="1">
        <v>44379</v>
      </c>
      <c r="H73" s="18">
        <v>320</v>
      </c>
      <c r="I73" s="19">
        <v>44416</v>
      </c>
      <c r="J73" s="1" t="s">
        <v>196</v>
      </c>
      <c r="L73">
        <f t="shared" si="3"/>
        <v>37</v>
      </c>
      <c r="M73" t="s">
        <v>67</v>
      </c>
      <c r="N73" s="2">
        <f t="shared" si="4"/>
        <v>320</v>
      </c>
      <c r="O73" s="2">
        <f t="shared" si="5"/>
        <v>320</v>
      </c>
      <c r="P73" s="5">
        <f>IFERROR(input_table[[#This Row],[est. profit]]/input_table[[#This Row],[Purchased]],)</f>
        <v>0</v>
      </c>
      <c r="Q73"/>
      <c r="V73" s="2"/>
    </row>
    <row r="74" spans="1:22" x14ac:dyDescent="0.25">
      <c r="A74" s="11" t="s">
        <v>9</v>
      </c>
      <c r="B74" s="11" t="s">
        <v>169</v>
      </c>
      <c r="C74" t="s">
        <v>172</v>
      </c>
      <c r="D74">
        <v>11.5</v>
      </c>
      <c r="E74" s="11" t="s">
        <v>162</v>
      </c>
      <c r="F74" s="3">
        <v>170</v>
      </c>
      <c r="G74" s="1">
        <v>44411</v>
      </c>
      <c r="H74" s="18">
        <v>175</v>
      </c>
      <c r="I74" s="19">
        <v>44416</v>
      </c>
      <c r="J74" s="1" t="s">
        <v>196</v>
      </c>
      <c r="L74">
        <f t="shared" si="3"/>
        <v>5</v>
      </c>
      <c r="M74" t="s">
        <v>69</v>
      </c>
      <c r="N74" s="2">
        <f t="shared" si="4"/>
        <v>5</v>
      </c>
      <c r="O74" s="2">
        <f t="shared" si="5"/>
        <v>5</v>
      </c>
      <c r="P74" s="5">
        <f>IFERROR(input_table[[#This Row],[est. profit]]/input_table[[#This Row],[Purchased]],)</f>
        <v>2.9411764705882353E-2</v>
      </c>
      <c r="Q74"/>
      <c r="V74" s="2"/>
    </row>
    <row r="75" spans="1:22" x14ac:dyDescent="0.25">
      <c r="A75" s="11" t="s">
        <v>61</v>
      </c>
      <c r="B75" s="11" t="s">
        <v>116</v>
      </c>
      <c r="C75" t="s">
        <v>117</v>
      </c>
      <c r="E75" s="11" t="s">
        <v>118</v>
      </c>
      <c r="F75" s="3">
        <v>0</v>
      </c>
      <c r="G75" s="1">
        <v>44356</v>
      </c>
      <c r="H75" s="18">
        <v>500</v>
      </c>
      <c r="I75" s="19">
        <v>44417</v>
      </c>
      <c r="J75" s="1" t="s">
        <v>196</v>
      </c>
      <c r="L75">
        <f t="shared" si="3"/>
        <v>61</v>
      </c>
      <c r="M75" t="s">
        <v>114</v>
      </c>
      <c r="N75" s="2">
        <f t="shared" si="4"/>
        <v>500</v>
      </c>
      <c r="O75" s="2">
        <f t="shared" si="5"/>
        <v>500</v>
      </c>
      <c r="P75" s="5">
        <f>IFERROR(input_table[[#This Row],[est. profit]]/input_table[[#This Row],[Purchased]],)</f>
        <v>0</v>
      </c>
      <c r="Q75"/>
      <c r="V75" s="2"/>
    </row>
    <row r="76" spans="1:22" x14ac:dyDescent="0.25">
      <c r="A76" s="11" t="s">
        <v>9</v>
      </c>
      <c r="B76" s="11" t="s">
        <v>14</v>
      </c>
      <c r="C76">
        <v>4</v>
      </c>
      <c r="D76">
        <v>8</v>
      </c>
      <c r="E76" s="11" t="s">
        <v>164</v>
      </c>
      <c r="F76" s="3">
        <v>170</v>
      </c>
      <c r="G76" s="1">
        <v>44416</v>
      </c>
      <c r="H76" s="18">
        <v>220</v>
      </c>
      <c r="I76" s="19">
        <v>44417</v>
      </c>
      <c r="J76" s="1" t="s">
        <v>196</v>
      </c>
      <c r="L76">
        <f t="shared" si="3"/>
        <v>1</v>
      </c>
      <c r="M76" t="s">
        <v>67</v>
      </c>
      <c r="N76" s="2">
        <f t="shared" si="4"/>
        <v>50</v>
      </c>
      <c r="O76" s="2">
        <f t="shared" si="5"/>
        <v>50</v>
      </c>
      <c r="P76" s="5">
        <f>IFERROR(input_table[[#This Row],[est. profit]]/input_table[[#This Row],[Purchased]],)</f>
        <v>0.29411764705882354</v>
      </c>
      <c r="Q76"/>
      <c r="V76" s="2"/>
    </row>
    <row r="77" spans="1:22" x14ac:dyDescent="0.25">
      <c r="A77" s="11" t="s">
        <v>9</v>
      </c>
      <c r="B77" s="11" t="s">
        <v>14</v>
      </c>
      <c r="C77">
        <v>4</v>
      </c>
      <c r="D77">
        <v>7.5</v>
      </c>
      <c r="E77" s="11" t="s">
        <v>135</v>
      </c>
      <c r="F77" s="3">
        <v>240</v>
      </c>
      <c r="G77" s="1">
        <v>44395</v>
      </c>
      <c r="H77" s="18">
        <v>290</v>
      </c>
      <c r="I77" s="19">
        <v>44423</v>
      </c>
      <c r="J77" s="1" t="s">
        <v>196</v>
      </c>
      <c r="L77">
        <f t="shared" si="3"/>
        <v>28</v>
      </c>
      <c r="M77" t="s">
        <v>67</v>
      </c>
      <c r="N77" s="2">
        <f t="shared" si="4"/>
        <v>50</v>
      </c>
      <c r="O77" s="2">
        <f t="shared" si="5"/>
        <v>50</v>
      </c>
      <c r="P77" s="5">
        <f>IFERROR(input_table[[#This Row],[est. profit]]/input_table[[#This Row],[Purchased]],)</f>
        <v>0.20833333333333334</v>
      </c>
      <c r="Q77"/>
      <c r="V77" s="2"/>
    </row>
    <row r="78" spans="1:22" x14ac:dyDescent="0.25">
      <c r="A78" s="11" t="s">
        <v>9</v>
      </c>
      <c r="B78" s="11" t="s">
        <v>10</v>
      </c>
      <c r="C78" t="s">
        <v>20</v>
      </c>
      <c r="D78">
        <v>4</v>
      </c>
      <c r="E78" s="11" t="s">
        <v>165</v>
      </c>
      <c r="F78" s="3">
        <v>128</v>
      </c>
      <c r="G78" s="1">
        <v>44424</v>
      </c>
      <c r="H78" s="18">
        <v>200</v>
      </c>
      <c r="I78" s="19">
        <v>44440</v>
      </c>
      <c r="J78" s="18" t="s">
        <v>198</v>
      </c>
      <c r="L78">
        <f t="shared" si="3"/>
        <v>16</v>
      </c>
      <c r="M78" t="s">
        <v>178</v>
      </c>
      <c r="N78" s="2">
        <f t="shared" si="4"/>
        <v>72</v>
      </c>
      <c r="O78" s="2">
        <f t="shared" si="5"/>
        <v>72</v>
      </c>
      <c r="P78" s="5">
        <f>IFERROR(input_table[[#This Row],[est. profit]]/input_table[[#This Row],[Purchased]],)</f>
        <v>0.5625</v>
      </c>
      <c r="Q78"/>
      <c r="V78" s="2"/>
    </row>
    <row r="79" spans="1:22" x14ac:dyDescent="0.25">
      <c r="A79" s="11" t="s">
        <v>9</v>
      </c>
      <c r="B79" s="11" t="s">
        <v>169</v>
      </c>
      <c r="C79" t="s">
        <v>170</v>
      </c>
      <c r="D79">
        <v>9.5</v>
      </c>
      <c r="E79" s="11" t="s">
        <v>138</v>
      </c>
      <c r="F79" s="3">
        <v>120</v>
      </c>
      <c r="G79" s="1">
        <v>44425</v>
      </c>
      <c r="H79" s="18">
        <v>180</v>
      </c>
      <c r="I79" s="19">
        <v>44440</v>
      </c>
      <c r="J79" s="1" t="s">
        <v>198</v>
      </c>
      <c r="L79">
        <f t="shared" si="3"/>
        <v>15</v>
      </c>
      <c r="M79" t="s">
        <v>69</v>
      </c>
      <c r="N79" s="2">
        <f t="shared" si="4"/>
        <v>60</v>
      </c>
      <c r="O79" s="2">
        <f t="shared" si="5"/>
        <v>60</v>
      </c>
      <c r="P79" s="5">
        <f>IFERROR(input_table[[#This Row],[est. profit]]/input_table[[#This Row],[Purchased]],)</f>
        <v>0.5</v>
      </c>
      <c r="Q79"/>
      <c r="V79" s="2"/>
    </row>
    <row r="80" spans="1:22" x14ac:dyDescent="0.25">
      <c r="A80" s="11" t="s">
        <v>125</v>
      </c>
      <c r="B80" s="11" t="s">
        <v>120</v>
      </c>
      <c r="C80" t="s">
        <v>175</v>
      </c>
      <c r="D80" t="s">
        <v>176</v>
      </c>
      <c r="E80" s="11" t="s">
        <v>138</v>
      </c>
      <c r="F80" s="3">
        <v>51</v>
      </c>
      <c r="G80" s="1">
        <v>44427</v>
      </c>
      <c r="H80" s="18">
        <v>51</v>
      </c>
      <c r="I80" s="19">
        <v>44440</v>
      </c>
      <c r="J80" s="18" t="s">
        <v>198</v>
      </c>
      <c r="L80">
        <f t="shared" si="3"/>
        <v>13</v>
      </c>
      <c r="M80" t="s">
        <v>163</v>
      </c>
      <c r="N80" s="2">
        <f t="shared" si="4"/>
        <v>0</v>
      </c>
      <c r="O80" s="2">
        <f t="shared" si="5"/>
        <v>0</v>
      </c>
      <c r="P80" s="5">
        <f>IFERROR(input_table[[#This Row],[est. profit]]/input_table[[#This Row],[Purchased]],)</f>
        <v>0</v>
      </c>
      <c r="Q80"/>
      <c r="V80" s="2"/>
    </row>
    <row r="81" spans="1:22" x14ac:dyDescent="0.25">
      <c r="A81" s="11" t="s">
        <v>125</v>
      </c>
      <c r="B81" s="11" t="s">
        <v>120</v>
      </c>
      <c r="C81" t="s">
        <v>177</v>
      </c>
      <c r="D81" t="s">
        <v>127</v>
      </c>
      <c r="E81" s="11" t="s">
        <v>131</v>
      </c>
      <c r="F81" s="3">
        <v>51</v>
      </c>
      <c r="G81" s="1">
        <v>44427</v>
      </c>
      <c r="H81" s="18">
        <v>51</v>
      </c>
      <c r="I81" s="19">
        <v>44441</v>
      </c>
      <c r="J81" s="1" t="s">
        <v>198</v>
      </c>
      <c r="L81">
        <f t="shared" si="3"/>
        <v>14</v>
      </c>
      <c r="M81" t="s">
        <v>68</v>
      </c>
      <c r="N81" s="2">
        <f t="shared" si="4"/>
        <v>0</v>
      </c>
      <c r="O81" s="2">
        <f t="shared" si="5"/>
        <v>0</v>
      </c>
      <c r="P81" s="5">
        <f>IFERROR(input_table[[#This Row],[est. profit]]/input_table[[#This Row],[Purchased]],)</f>
        <v>0</v>
      </c>
      <c r="Q81"/>
      <c r="V81" s="2"/>
    </row>
    <row r="82" spans="1:22" x14ac:dyDescent="0.25">
      <c r="A82" s="11" t="s">
        <v>9</v>
      </c>
      <c r="B82" s="11" t="s">
        <v>14</v>
      </c>
      <c r="C82" t="s">
        <v>15</v>
      </c>
      <c r="D82">
        <v>11</v>
      </c>
      <c r="E82" s="11" t="s">
        <v>17</v>
      </c>
      <c r="F82" s="3">
        <v>157.5</v>
      </c>
      <c r="G82" s="1">
        <v>44432</v>
      </c>
      <c r="H82" s="18">
        <v>200</v>
      </c>
      <c r="I82" s="19">
        <v>44443</v>
      </c>
      <c r="J82" s="18" t="s">
        <v>198</v>
      </c>
      <c r="L82">
        <f t="shared" si="3"/>
        <v>11</v>
      </c>
      <c r="M82" t="s">
        <v>67</v>
      </c>
      <c r="N82" s="2">
        <f t="shared" si="4"/>
        <v>42.5</v>
      </c>
      <c r="O82" s="2">
        <f t="shared" si="5"/>
        <v>42.5</v>
      </c>
      <c r="P82" s="5">
        <f>IFERROR(input_table[[#This Row],[est. profit]]/input_table[[#This Row],[Purchased]],)</f>
        <v>0.26984126984126983</v>
      </c>
      <c r="Q82"/>
      <c r="V82" s="2"/>
    </row>
    <row r="83" spans="1:22" x14ac:dyDescent="0.25">
      <c r="A83" s="11" t="s">
        <v>9</v>
      </c>
      <c r="B83" s="11" t="s">
        <v>14</v>
      </c>
      <c r="C83">
        <v>4</v>
      </c>
      <c r="D83">
        <v>7</v>
      </c>
      <c r="E83" s="11" t="s">
        <v>180</v>
      </c>
      <c r="F83" s="3">
        <v>170</v>
      </c>
      <c r="G83" s="1">
        <v>44442</v>
      </c>
      <c r="H83" s="18">
        <v>225</v>
      </c>
      <c r="I83" s="19">
        <v>44444</v>
      </c>
      <c r="J83" s="1" t="s">
        <v>198</v>
      </c>
      <c r="L83">
        <f t="shared" si="3"/>
        <v>2</v>
      </c>
      <c r="M83" t="s">
        <v>181</v>
      </c>
      <c r="N83" s="2">
        <f t="shared" si="4"/>
        <v>55</v>
      </c>
      <c r="O83" s="2">
        <f t="shared" si="5"/>
        <v>55</v>
      </c>
      <c r="P83" s="5">
        <f>IFERROR(input_table[[#This Row],[est. profit]]/input_table[[#This Row],[Purchased]],)</f>
        <v>0.3235294117647059</v>
      </c>
      <c r="Q83"/>
      <c r="V83" s="2"/>
    </row>
    <row r="84" spans="1:22" x14ac:dyDescent="0.25">
      <c r="A84" s="11" t="s">
        <v>9</v>
      </c>
      <c r="B84" s="11" t="s">
        <v>14</v>
      </c>
      <c r="C84" t="s">
        <v>160</v>
      </c>
      <c r="E84" s="11" t="s">
        <v>161</v>
      </c>
      <c r="F84" s="3">
        <v>1050</v>
      </c>
      <c r="G84" s="1">
        <v>44406</v>
      </c>
      <c r="H84" s="18">
        <v>1150</v>
      </c>
      <c r="I84" s="19">
        <v>44445</v>
      </c>
      <c r="J84" s="18" t="s">
        <v>198</v>
      </c>
      <c r="L84">
        <f t="shared" si="3"/>
        <v>39</v>
      </c>
      <c r="M84" t="s">
        <v>181</v>
      </c>
      <c r="N84" s="2">
        <f t="shared" si="4"/>
        <v>100</v>
      </c>
      <c r="O84" s="2">
        <f t="shared" si="5"/>
        <v>100</v>
      </c>
      <c r="P84" s="5">
        <f>IFERROR(input_table[[#This Row],[est. profit]]/input_table[[#This Row],[Purchased]],)</f>
        <v>9.5238095238095233E-2</v>
      </c>
      <c r="Q84"/>
      <c r="V84" s="2"/>
    </row>
    <row r="85" spans="1:22" x14ac:dyDescent="0.25">
      <c r="A85" s="11" t="s">
        <v>9</v>
      </c>
      <c r="B85" s="11" t="s">
        <v>14</v>
      </c>
      <c r="C85" t="s">
        <v>79</v>
      </c>
      <c r="D85">
        <v>8</v>
      </c>
      <c r="E85" s="11" t="s">
        <v>165</v>
      </c>
      <c r="F85" s="3">
        <v>265.5</v>
      </c>
      <c r="G85" s="1">
        <v>44418</v>
      </c>
      <c r="H85" s="18">
        <v>265.5</v>
      </c>
      <c r="I85" s="19">
        <v>44446</v>
      </c>
      <c r="J85" s="1" t="s">
        <v>198</v>
      </c>
      <c r="L85">
        <f t="shared" si="3"/>
        <v>28</v>
      </c>
      <c r="M85" t="s">
        <v>186</v>
      </c>
      <c r="N85" s="2">
        <f t="shared" si="4"/>
        <v>0</v>
      </c>
      <c r="O85" s="2">
        <f t="shared" si="5"/>
        <v>0</v>
      </c>
      <c r="P85" s="5">
        <f>IFERROR(input_table[[#This Row],[est. profit]]/input_table[[#This Row],[Purchased]],)</f>
        <v>0</v>
      </c>
      <c r="Q85"/>
      <c r="V85" s="2"/>
    </row>
    <row r="86" spans="1:22" x14ac:dyDescent="0.25">
      <c r="A86" s="11" t="s">
        <v>9</v>
      </c>
      <c r="B86" s="11" t="s">
        <v>14</v>
      </c>
      <c r="C86" t="s">
        <v>184</v>
      </c>
      <c r="D86">
        <v>5</v>
      </c>
      <c r="E86" s="11" t="s">
        <v>185</v>
      </c>
      <c r="F86" s="3">
        <v>54</v>
      </c>
      <c r="G86" s="1">
        <v>44448</v>
      </c>
      <c r="H86" s="18">
        <v>73</v>
      </c>
      <c r="I86" s="19">
        <v>44451</v>
      </c>
      <c r="J86" s="18" t="s">
        <v>198</v>
      </c>
      <c r="L86">
        <f t="shared" si="3"/>
        <v>3</v>
      </c>
      <c r="M86" t="s">
        <v>68</v>
      </c>
      <c r="N86" s="2">
        <f t="shared" si="4"/>
        <v>19</v>
      </c>
      <c r="O86" s="2">
        <f t="shared" si="5"/>
        <v>19</v>
      </c>
      <c r="P86" s="5">
        <f>IFERROR(input_table[[#This Row],[est. profit]]/input_table[[#This Row],[Purchased]],)</f>
        <v>0.35185185185185186</v>
      </c>
      <c r="Q86"/>
      <c r="V86" s="2"/>
    </row>
    <row r="87" spans="1:22" x14ac:dyDescent="0.25">
      <c r="A87" s="11" t="s">
        <v>9</v>
      </c>
      <c r="B87" s="11" t="s">
        <v>10</v>
      </c>
      <c r="C87" t="s">
        <v>20</v>
      </c>
      <c r="D87">
        <v>10.5</v>
      </c>
      <c r="E87" s="11" t="s">
        <v>187</v>
      </c>
      <c r="F87" s="3">
        <v>90</v>
      </c>
      <c r="G87" s="1">
        <v>44449</v>
      </c>
      <c r="H87" s="18">
        <v>150</v>
      </c>
      <c r="I87" s="19">
        <v>44451</v>
      </c>
      <c r="J87" s="1" t="s">
        <v>198</v>
      </c>
      <c r="L87">
        <f t="shared" si="3"/>
        <v>2</v>
      </c>
      <c r="M87" t="s">
        <v>69</v>
      </c>
      <c r="N87" s="2">
        <f t="shared" si="4"/>
        <v>60</v>
      </c>
      <c r="O87" s="2">
        <f t="shared" si="5"/>
        <v>60</v>
      </c>
      <c r="P87" s="5">
        <f>IFERROR(input_table[[#This Row],[est. profit]]/input_table[[#This Row],[Purchased]],)</f>
        <v>0.66666666666666663</v>
      </c>
      <c r="Q87"/>
      <c r="V87" s="2"/>
    </row>
    <row r="88" spans="1:22" x14ac:dyDescent="0.25">
      <c r="A88" s="11" t="s">
        <v>9</v>
      </c>
      <c r="B88" s="11" t="s">
        <v>136</v>
      </c>
      <c r="C88" t="s">
        <v>182</v>
      </c>
      <c r="D88">
        <v>8</v>
      </c>
      <c r="E88" s="11" t="s">
        <v>183</v>
      </c>
      <c r="F88" s="3">
        <v>215.5</v>
      </c>
      <c r="G88" s="1">
        <v>44446</v>
      </c>
      <c r="H88" s="18">
        <v>250</v>
      </c>
      <c r="I88" s="19">
        <v>44452</v>
      </c>
      <c r="J88" s="18" t="s">
        <v>198</v>
      </c>
      <c r="L88">
        <f t="shared" si="3"/>
        <v>6</v>
      </c>
      <c r="M88" t="s">
        <v>69</v>
      </c>
      <c r="N88" s="2">
        <f t="shared" si="4"/>
        <v>34.5</v>
      </c>
      <c r="O88" s="2">
        <f t="shared" si="5"/>
        <v>34.5</v>
      </c>
      <c r="P88" s="5">
        <f>IFERROR(input_table[[#This Row],[est. profit]]/input_table[[#This Row],[Purchased]],)</f>
        <v>0.16009280742459397</v>
      </c>
      <c r="Q88"/>
      <c r="V88" s="2"/>
    </row>
    <row r="89" spans="1:22" x14ac:dyDescent="0.25">
      <c r="A89" s="11" t="s">
        <v>9</v>
      </c>
      <c r="B89" s="11" t="s">
        <v>14</v>
      </c>
      <c r="C89">
        <v>4</v>
      </c>
      <c r="D89">
        <v>10</v>
      </c>
      <c r="E89" s="11" t="s">
        <v>135</v>
      </c>
      <c r="F89" s="3">
        <v>270</v>
      </c>
      <c r="G89" s="1">
        <v>44448</v>
      </c>
      <c r="H89" s="18">
        <v>325</v>
      </c>
      <c r="I89" s="19">
        <v>44458</v>
      </c>
      <c r="J89" s="1" t="s">
        <v>198</v>
      </c>
      <c r="L89">
        <f t="shared" si="3"/>
        <v>10</v>
      </c>
      <c r="M89" t="s">
        <v>181</v>
      </c>
      <c r="N89" s="2">
        <f t="shared" si="4"/>
        <v>55</v>
      </c>
      <c r="O89" s="2">
        <f t="shared" si="5"/>
        <v>55</v>
      </c>
      <c r="P89" s="5">
        <f>IFERROR(input_table[[#This Row],[est. profit]]/input_table[[#This Row],[Purchased]],)</f>
        <v>0.20370370370370369</v>
      </c>
      <c r="Q89"/>
      <c r="V89" s="2"/>
    </row>
    <row r="90" spans="1:22" x14ac:dyDescent="0.25">
      <c r="A90" s="11" t="s">
        <v>9</v>
      </c>
      <c r="B90" s="11" t="s">
        <v>10</v>
      </c>
      <c r="C90" t="s">
        <v>20</v>
      </c>
      <c r="D90">
        <v>5</v>
      </c>
      <c r="E90" s="11" t="s">
        <v>188</v>
      </c>
      <c r="F90" s="3">
        <v>90</v>
      </c>
      <c r="G90" s="1">
        <v>44454</v>
      </c>
      <c r="H90" s="18">
        <v>110</v>
      </c>
      <c r="I90" s="19">
        <v>44458</v>
      </c>
      <c r="J90" s="18" t="s">
        <v>198</v>
      </c>
      <c r="L90">
        <f t="shared" si="3"/>
        <v>4</v>
      </c>
      <c r="M90" t="s">
        <v>109</v>
      </c>
      <c r="N90" s="2">
        <f t="shared" si="4"/>
        <v>20</v>
      </c>
      <c r="O90" s="2">
        <f t="shared" si="5"/>
        <v>20</v>
      </c>
      <c r="P90" s="5">
        <f>IFERROR(input_table[[#This Row],[est. profit]]/input_table[[#This Row],[Purchased]],)</f>
        <v>0.22222222222222221</v>
      </c>
      <c r="Q90"/>
      <c r="V90" s="2"/>
    </row>
    <row r="91" spans="1:22" x14ac:dyDescent="0.25">
      <c r="A91" s="11" t="s">
        <v>9</v>
      </c>
      <c r="B91" s="11" t="s">
        <v>14</v>
      </c>
      <c r="C91" t="s">
        <v>15</v>
      </c>
      <c r="D91">
        <v>10.5</v>
      </c>
      <c r="E91" s="11" t="s">
        <v>22</v>
      </c>
      <c r="F91" s="3">
        <v>100</v>
      </c>
      <c r="G91" s="1">
        <v>44451</v>
      </c>
      <c r="H91" s="18">
        <v>120</v>
      </c>
      <c r="I91" s="19">
        <v>44459</v>
      </c>
      <c r="J91" s="1" t="s">
        <v>198</v>
      </c>
      <c r="L91">
        <f t="shared" si="3"/>
        <v>8</v>
      </c>
      <c r="M91" t="s">
        <v>68</v>
      </c>
      <c r="N91" s="2">
        <f t="shared" si="4"/>
        <v>20</v>
      </c>
      <c r="O91" s="2">
        <f t="shared" si="5"/>
        <v>20</v>
      </c>
      <c r="P91" s="5">
        <f>IFERROR(input_table[[#This Row],[est. profit]]/input_table[[#This Row],[Purchased]],)</f>
        <v>0.2</v>
      </c>
      <c r="Q91"/>
      <c r="V91" s="2"/>
    </row>
    <row r="92" spans="1:22" x14ac:dyDescent="0.25">
      <c r="A92" s="11" t="s">
        <v>9</v>
      </c>
      <c r="B92" s="11" t="s">
        <v>10</v>
      </c>
      <c r="C92" t="s">
        <v>20</v>
      </c>
      <c r="D92">
        <v>8</v>
      </c>
      <c r="E92" s="11" t="s">
        <v>188</v>
      </c>
      <c r="F92" s="3">
        <v>90</v>
      </c>
      <c r="G92" s="1">
        <v>44454</v>
      </c>
      <c r="H92" s="18">
        <v>100</v>
      </c>
      <c r="I92" s="19">
        <v>44459</v>
      </c>
      <c r="J92" s="18" t="s">
        <v>198</v>
      </c>
      <c r="L92">
        <f t="shared" si="3"/>
        <v>5</v>
      </c>
      <c r="M92" t="s">
        <v>181</v>
      </c>
      <c r="N92" s="2">
        <f t="shared" si="4"/>
        <v>10</v>
      </c>
      <c r="O92" s="2">
        <f t="shared" si="5"/>
        <v>10</v>
      </c>
      <c r="P92" s="5">
        <f>IFERROR(input_table[[#This Row],[est. profit]]/input_table[[#This Row],[Purchased]],)</f>
        <v>0.1111111111111111</v>
      </c>
      <c r="Q92"/>
      <c r="V92" s="2"/>
    </row>
    <row r="93" spans="1:22" x14ac:dyDescent="0.25">
      <c r="A93" s="11" t="s">
        <v>9</v>
      </c>
      <c r="B93" s="11" t="s">
        <v>14</v>
      </c>
      <c r="C93" t="s">
        <v>166</v>
      </c>
      <c r="D93">
        <v>8.5</v>
      </c>
      <c r="E93" s="11" t="s">
        <v>168</v>
      </c>
      <c r="F93" s="3">
        <v>240</v>
      </c>
      <c r="G93" s="1">
        <v>44424</v>
      </c>
      <c r="H93" s="18">
        <v>320</v>
      </c>
      <c r="I93" s="19">
        <v>44463</v>
      </c>
      <c r="J93" s="1" t="s">
        <v>198</v>
      </c>
      <c r="L93">
        <f t="shared" si="3"/>
        <v>39</v>
      </c>
      <c r="M93" t="s">
        <v>69</v>
      </c>
      <c r="N93" s="2">
        <f t="shared" si="4"/>
        <v>80</v>
      </c>
      <c r="O93" s="2">
        <f t="shared" si="5"/>
        <v>80</v>
      </c>
      <c r="P93" s="5">
        <f>IFERROR(input_table[[#This Row],[est. profit]]/input_table[[#This Row],[Purchased]],)</f>
        <v>0.33333333333333331</v>
      </c>
      <c r="Q93"/>
      <c r="V93" s="2"/>
    </row>
    <row r="94" spans="1:22" x14ac:dyDescent="0.25">
      <c r="A94" s="11" t="s">
        <v>9</v>
      </c>
      <c r="B94" s="11" t="s">
        <v>14</v>
      </c>
      <c r="C94">
        <v>4</v>
      </c>
      <c r="D94">
        <v>10</v>
      </c>
      <c r="E94" s="11" t="s">
        <v>135</v>
      </c>
      <c r="F94" s="3">
        <v>270</v>
      </c>
      <c r="G94" s="1">
        <v>44451</v>
      </c>
      <c r="H94" s="18">
        <v>320</v>
      </c>
      <c r="I94" s="19">
        <v>44463</v>
      </c>
      <c r="J94" s="18" t="s">
        <v>198</v>
      </c>
      <c r="L94">
        <f t="shared" si="3"/>
        <v>12</v>
      </c>
      <c r="M94" t="s">
        <v>163</v>
      </c>
      <c r="N94" s="2">
        <f t="shared" si="4"/>
        <v>50</v>
      </c>
      <c r="O94" s="2">
        <f t="shared" si="5"/>
        <v>50</v>
      </c>
      <c r="P94" s="5">
        <f>IFERROR(input_table[[#This Row],[est. profit]]/input_table[[#This Row],[Purchased]],)</f>
        <v>0.18518518518518517</v>
      </c>
      <c r="Q94"/>
      <c r="V94" s="2"/>
    </row>
    <row r="95" spans="1:22" x14ac:dyDescent="0.25">
      <c r="A95" s="11" t="s">
        <v>9</v>
      </c>
      <c r="B95" s="11" t="s">
        <v>14</v>
      </c>
      <c r="C95" t="s">
        <v>79</v>
      </c>
      <c r="D95">
        <v>12</v>
      </c>
      <c r="E95" s="11" t="s">
        <v>179</v>
      </c>
      <c r="F95" s="3">
        <v>265</v>
      </c>
      <c r="G95" s="1">
        <v>44443</v>
      </c>
      <c r="H95" s="18">
        <v>340</v>
      </c>
      <c r="I95" s="19">
        <v>44465</v>
      </c>
      <c r="J95" s="1" t="s">
        <v>198</v>
      </c>
      <c r="L95">
        <f t="shared" si="3"/>
        <v>22</v>
      </c>
      <c r="M95" t="s">
        <v>109</v>
      </c>
      <c r="N95" s="2">
        <f t="shared" si="4"/>
        <v>75</v>
      </c>
      <c r="O95" s="2">
        <f t="shared" si="5"/>
        <v>75</v>
      </c>
      <c r="P95" s="5">
        <f>IFERROR(input_table[[#This Row],[est. profit]]/input_table[[#This Row],[Purchased]],)</f>
        <v>0.28301886792452829</v>
      </c>
      <c r="Q95"/>
      <c r="V95" s="2"/>
    </row>
    <row r="96" spans="1:22" x14ac:dyDescent="0.25">
      <c r="A96" s="11" t="s">
        <v>9</v>
      </c>
      <c r="B96" s="11" t="s">
        <v>10</v>
      </c>
      <c r="C96" t="s">
        <v>43</v>
      </c>
      <c r="D96">
        <v>6.5</v>
      </c>
      <c r="E96" s="11" t="s">
        <v>189</v>
      </c>
      <c r="F96" s="3">
        <v>115</v>
      </c>
      <c r="G96" s="1">
        <v>44456</v>
      </c>
      <c r="H96" s="18">
        <v>115</v>
      </c>
      <c r="I96" s="19">
        <v>44465</v>
      </c>
      <c r="J96" s="18" t="s">
        <v>198</v>
      </c>
      <c r="L96">
        <f t="shared" si="3"/>
        <v>9</v>
      </c>
      <c r="M96" t="s">
        <v>68</v>
      </c>
      <c r="N96" s="2">
        <f t="shared" si="4"/>
        <v>0</v>
      </c>
      <c r="O96" s="2">
        <f t="shared" si="5"/>
        <v>0</v>
      </c>
      <c r="P96" s="5">
        <f>IFERROR(input_table[[#This Row],[est. profit]]/input_table[[#This Row],[Purchased]],)</f>
        <v>0</v>
      </c>
      <c r="Q96"/>
      <c r="V96" s="2"/>
    </row>
    <row r="97" spans="1:22" x14ac:dyDescent="0.25">
      <c r="A97" s="11" t="s">
        <v>9</v>
      </c>
      <c r="B97" s="11" t="s">
        <v>14</v>
      </c>
      <c r="C97" t="s">
        <v>64</v>
      </c>
      <c r="D97">
        <v>7.5</v>
      </c>
      <c r="E97" s="11" t="s">
        <v>124</v>
      </c>
      <c r="F97" s="3">
        <v>108</v>
      </c>
      <c r="G97" s="1">
        <v>44447</v>
      </c>
      <c r="H97" s="18">
        <v>125</v>
      </c>
      <c r="I97" s="19">
        <v>44466</v>
      </c>
      <c r="J97" s="1" t="s">
        <v>198</v>
      </c>
      <c r="L97">
        <f t="shared" si="3"/>
        <v>19</v>
      </c>
      <c r="M97" t="s">
        <v>163</v>
      </c>
      <c r="N97" s="2">
        <f t="shared" si="4"/>
        <v>17</v>
      </c>
      <c r="O97" s="2">
        <f t="shared" si="5"/>
        <v>17</v>
      </c>
      <c r="P97" s="5">
        <f>IFERROR(input_table[[#This Row],[est. profit]]/input_table[[#This Row],[Purchased]],)</f>
        <v>0.15740740740740741</v>
      </c>
      <c r="Q97"/>
      <c r="V97" s="2"/>
    </row>
    <row r="98" spans="1:22" x14ac:dyDescent="0.25">
      <c r="A98" s="11" t="s">
        <v>24</v>
      </c>
      <c r="B98" s="11" t="s">
        <v>35</v>
      </c>
      <c r="C98" t="s">
        <v>36</v>
      </c>
      <c r="D98" t="s">
        <v>62</v>
      </c>
      <c r="E98" s="11" t="s">
        <v>37</v>
      </c>
      <c r="F98" s="3">
        <v>66.25</v>
      </c>
      <c r="G98" s="1">
        <v>44288</v>
      </c>
      <c r="H98" s="18">
        <v>60</v>
      </c>
      <c r="I98" s="19">
        <v>44469</v>
      </c>
      <c r="J98" s="1" t="s">
        <v>198</v>
      </c>
      <c r="L98">
        <f t="shared" si="3"/>
        <v>181</v>
      </c>
      <c r="M98" t="s">
        <v>67</v>
      </c>
      <c r="N98" s="2">
        <f t="shared" si="4"/>
        <v>-6.25</v>
      </c>
      <c r="O98" s="2">
        <f t="shared" si="5"/>
        <v>-6.25</v>
      </c>
      <c r="P98" s="5">
        <f>IFERROR(input_table[[#This Row],[est. profit]]/input_table[[#This Row],[Purchased]],)</f>
        <v>-9.4339622641509441E-2</v>
      </c>
      <c r="Q98"/>
      <c r="V98" s="2"/>
    </row>
    <row r="99" spans="1:22" x14ac:dyDescent="0.25">
      <c r="A99" s="11" t="s">
        <v>9</v>
      </c>
      <c r="B99" s="11" t="s">
        <v>14</v>
      </c>
      <c r="C99">
        <v>4</v>
      </c>
      <c r="D99">
        <v>6</v>
      </c>
      <c r="E99" s="11" t="s">
        <v>174</v>
      </c>
      <c r="F99" s="3">
        <v>254</v>
      </c>
      <c r="G99" s="1">
        <v>44426</v>
      </c>
      <c r="H99" s="18">
        <v>300</v>
      </c>
      <c r="I99" s="19">
        <v>44471</v>
      </c>
      <c r="J99" s="1" t="s">
        <v>197</v>
      </c>
      <c r="L99">
        <f t="shared" si="3"/>
        <v>45</v>
      </c>
      <c r="M99" t="s">
        <v>67</v>
      </c>
      <c r="N99" s="2">
        <f t="shared" si="4"/>
        <v>46</v>
      </c>
      <c r="O99" s="2">
        <f t="shared" si="5"/>
        <v>46</v>
      </c>
      <c r="P99" s="5">
        <f>IFERROR(input_table[[#This Row],[est. profit]]/input_table[[#This Row],[Purchased]],)</f>
        <v>0.18110236220472442</v>
      </c>
      <c r="Q99"/>
      <c r="V99" s="2"/>
    </row>
    <row r="100" spans="1:22" x14ac:dyDescent="0.25">
      <c r="A100" s="11" t="s">
        <v>9</v>
      </c>
      <c r="B100" s="11" t="s">
        <v>10</v>
      </c>
      <c r="C100" t="s">
        <v>20</v>
      </c>
      <c r="D100" t="s">
        <v>195</v>
      </c>
      <c r="E100" s="11" t="s">
        <v>112</v>
      </c>
      <c r="F100" s="3">
        <v>48</v>
      </c>
      <c r="G100" s="1">
        <v>44470</v>
      </c>
      <c r="H100" s="18">
        <v>70</v>
      </c>
      <c r="I100" s="19">
        <v>44472</v>
      </c>
      <c r="J100" s="1" t="s">
        <v>197</v>
      </c>
      <c r="L100">
        <f t="shared" si="3"/>
        <v>2</v>
      </c>
      <c r="M100" t="s">
        <v>69</v>
      </c>
      <c r="N100" s="2">
        <f t="shared" si="4"/>
        <v>22</v>
      </c>
      <c r="O100" s="2">
        <f t="shared" si="5"/>
        <v>22</v>
      </c>
      <c r="P100" s="5">
        <f>IFERROR(input_table[[#This Row],[est. profit]]/input_table[[#This Row],[Purchased]],)</f>
        <v>0.45833333333333331</v>
      </c>
      <c r="Q100"/>
      <c r="V100" s="2"/>
    </row>
    <row r="101" spans="1:22" x14ac:dyDescent="0.25">
      <c r="A101" s="11" t="s">
        <v>9</v>
      </c>
      <c r="B101" s="11" t="s">
        <v>10</v>
      </c>
      <c r="C101" t="s">
        <v>20</v>
      </c>
      <c r="D101" t="s">
        <v>195</v>
      </c>
      <c r="E101" s="11" t="s">
        <v>112</v>
      </c>
      <c r="F101" s="3">
        <v>48</v>
      </c>
      <c r="G101" s="1">
        <v>44470</v>
      </c>
      <c r="H101" s="18">
        <v>60</v>
      </c>
      <c r="I101" s="19">
        <v>44475</v>
      </c>
      <c r="J101" s="1" t="s">
        <v>197</v>
      </c>
      <c r="L101">
        <f t="shared" si="3"/>
        <v>5</v>
      </c>
      <c r="M101" t="s">
        <v>68</v>
      </c>
      <c r="N101" s="2">
        <f t="shared" si="4"/>
        <v>12</v>
      </c>
      <c r="O101" s="2">
        <f t="shared" si="5"/>
        <v>12</v>
      </c>
      <c r="P101" s="5">
        <f>IFERROR(input_table[[#This Row],[est. profit]]/input_table[[#This Row],[Purchased]],)</f>
        <v>0.25</v>
      </c>
      <c r="Q101"/>
      <c r="V101" s="2"/>
    </row>
    <row r="102" spans="1:22" x14ac:dyDescent="0.25">
      <c r="A102" s="11" t="s">
        <v>9</v>
      </c>
      <c r="B102" s="11" t="s">
        <v>14</v>
      </c>
      <c r="C102">
        <v>6</v>
      </c>
      <c r="D102">
        <v>4.5</v>
      </c>
      <c r="E102" s="11" t="s">
        <v>199</v>
      </c>
      <c r="F102" s="3">
        <v>65</v>
      </c>
      <c r="G102" s="1">
        <v>44470</v>
      </c>
      <c r="H102" s="18">
        <v>85</v>
      </c>
      <c r="I102" s="19">
        <v>44475</v>
      </c>
      <c r="J102" s="1" t="s">
        <v>197</v>
      </c>
      <c r="L102">
        <f t="shared" si="3"/>
        <v>5</v>
      </c>
      <c r="M102" t="s">
        <v>69</v>
      </c>
      <c r="N102" s="2">
        <f t="shared" si="4"/>
        <v>20</v>
      </c>
      <c r="O102" s="2">
        <f t="shared" si="5"/>
        <v>20</v>
      </c>
      <c r="P102" s="5">
        <f>IFERROR(input_table[[#This Row],[est. profit]]/input_table[[#This Row],[Purchased]],)</f>
        <v>0.30769230769230771</v>
      </c>
      <c r="Q102"/>
      <c r="V102" s="2"/>
    </row>
    <row r="103" spans="1:22" x14ac:dyDescent="0.25">
      <c r="A103" s="11" t="s">
        <v>9</v>
      </c>
      <c r="B103" s="11" t="s">
        <v>10</v>
      </c>
      <c r="C103" t="s">
        <v>20</v>
      </c>
      <c r="D103">
        <v>5</v>
      </c>
      <c r="E103" s="11" t="s">
        <v>203</v>
      </c>
      <c r="F103" s="3">
        <v>90</v>
      </c>
      <c r="G103" s="1">
        <v>44480</v>
      </c>
      <c r="H103" s="18">
        <v>130</v>
      </c>
      <c r="I103" s="19">
        <v>44481</v>
      </c>
      <c r="J103" s="1" t="s">
        <v>197</v>
      </c>
      <c r="L103">
        <f t="shared" si="3"/>
        <v>1</v>
      </c>
      <c r="M103" t="s">
        <v>68</v>
      </c>
      <c r="N103" s="2">
        <f t="shared" si="4"/>
        <v>40</v>
      </c>
      <c r="O103" s="2">
        <f t="shared" si="5"/>
        <v>40</v>
      </c>
      <c r="P103" s="5">
        <f>IFERROR(input_table[[#This Row],[est. profit]]/input_table[[#This Row],[Purchased]],)</f>
        <v>0.44444444444444442</v>
      </c>
      <c r="Q103"/>
      <c r="V103" s="2"/>
    </row>
    <row r="104" spans="1:22" x14ac:dyDescent="0.25">
      <c r="A104" s="11" t="s">
        <v>9</v>
      </c>
      <c r="B104" s="11" t="s">
        <v>10</v>
      </c>
      <c r="C104" t="s">
        <v>20</v>
      </c>
      <c r="D104" t="s">
        <v>195</v>
      </c>
      <c r="E104" s="11" t="s">
        <v>112</v>
      </c>
      <c r="F104" s="3">
        <v>48</v>
      </c>
      <c r="G104" s="1">
        <v>44470</v>
      </c>
      <c r="H104" s="18">
        <v>65</v>
      </c>
      <c r="I104" s="19">
        <v>44483</v>
      </c>
      <c r="J104" s="1" t="s">
        <v>197</v>
      </c>
      <c r="L104">
        <f t="shared" si="3"/>
        <v>13</v>
      </c>
      <c r="M104" t="s">
        <v>69</v>
      </c>
      <c r="N104" s="2">
        <f t="shared" si="4"/>
        <v>17</v>
      </c>
      <c r="O104" s="2">
        <f t="shared" si="5"/>
        <v>17</v>
      </c>
      <c r="P104" s="5">
        <f>IFERROR(input_table[[#This Row],[est. profit]]/input_table[[#This Row],[Purchased]],)</f>
        <v>0.35416666666666669</v>
      </c>
      <c r="Q104"/>
      <c r="V104" s="2"/>
    </row>
    <row r="105" spans="1:22" x14ac:dyDescent="0.25">
      <c r="A105" s="11" t="s">
        <v>9</v>
      </c>
      <c r="B105" s="11" t="s">
        <v>14</v>
      </c>
      <c r="C105">
        <v>4</v>
      </c>
      <c r="D105">
        <v>7</v>
      </c>
      <c r="E105" s="11" t="s">
        <v>180</v>
      </c>
      <c r="F105" s="3">
        <v>170</v>
      </c>
      <c r="G105" s="1">
        <v>44469</v>
      </c>
      <c r="H105" s="18">
        <v>210</v>
      </c>
      <c r="I105" s="19">
        <v>44489</v>
      </c>
      <c r="J105" s="1" t="s">
        <v>197</v>
      </c>
      <c r="L105">
        <f t="shared" si="3"/>
        <v>20</v>
      </c>
      <c r="M105" t="s">
        <v>163</v>
      </c>
      <c r="N105" s="2">
        <f t="shared" si="4"/>
        <v>40</v>
      </c>
      <c r="O105" s="2">
        <f t="shared" si="5"/>
        <v>40</v>
      </c>
      <c r="P105" s="5">
        <f>IFERROR(input_table[[#This Row],[est. profit]]/input_table[[#This Row],[Purchased]],)</f>
        <v>0.23529411764705882</v>
      </c>
      <c r="Q105"/>
      <c r="V105" s="2"/>
    </row>
    <row r="106" spans="1:22" x14ac:dyDescent="0.25">
      <c r="A106" s="11" t="s">
        <v>125</v>
      </c>
      <c r="B106" s="11" t="s">
        <v>190</v>
      </c>
      <c r="C106" t="s">
        <v>215</v>
      </c>
      <c r="D106" t="s">
        <v>107</v>
      </c>
      <c r="E106" s="11" t="s">
        <v>192</v>
      </c>
      <c r="F106" s="3">
        <v>172</v>
      </c>
      <c r="G106" s="1">
        <v>44463</v>
      </c>
      <c r="H106" s="18">
        <v>210</v>
      </c>
      <c r="I106" s="19">
        <v>44492</v>
      </c>
      <c r="J106" s="1" t="s">
        <v>197</v>
      </c>
      <c r="L106">
        <f t="shared" si="3"/>
        <v>29</v>
      </c>
      <c r="M106" t="s">
        <v>109</v>
      </c>
      <c r="N106" s="2">
        <f t="shared" si="4"/>
        <v>38</v>
      </c>
      <c r="O106" s="2">
        <f t="shared" si="5"/>
        <v>38</v>
      </c>
      <c r="P106" s="5">
        <f>IFERROR(input_table[[#This Row],[est. profit]]/input_table[[#This Row],[Purchased]],)</f>
        <v>0.22093023255813954</v>
      </c>
      <c r="Q106"/>
      <c r="V106" s="2"/>
    </row>
    <row r="107" spans="1:22" x14ac:dyDescent="0.25">
      <c r="A107" s="11" t="s">
        <v>9</v>
      </c>
      <c r="B107" s="11" t="s">
        <v>14</v>
      </c>
      <c r="C107" t="s">
        <v>15</v>
      </c>
      <c r="D107">
        <v>5.5</v>
      </c>
      <c r="E107" s="11" t="s">
        <v>204</v>
      </c>
      <c r="F107" s="3">
        <v>68</v>
      </c>
      <c r="G107" s="1">
        <v>44491</v>
      </c>
      <c r="H107" s="18">
        <v>80</v>
      </c>
      <c r="I107" s="19">
        <v>44492</v>
      </c>
      <c r="J107" s="1" t="s">
        <v>197</v>
      </c>
      <c r="L107">
        <f t="shared" si="3"/>
        <v>1</v>
      </c>
      <c r="M107" t="s">
        <v>69</v>
      </c>
      <c r="N107" s="2">
        <f t="shared" si="4"/>
        <v>12</v>
      </c>
      <c r="O107" s="2">
        <f t="shared" si="5"/>
        <v>12</v>
      </c>
      <c r="P107" s="5">
        <f>IFERROR(input_table[[#This Row],[est. profit]]/input_table[[#This Row],[Purchased]],)</f>
        <v>0.17647058823529413</v>
      </c>
      <c r="Q107"/>
      <c r="V107" s="2"/>
    </row>
    <row r="108" spans="1:22" x14ac:dyDescent="0.25">
      <c r="A108" s="11" t="s">
        <v>9</v>
      </c>
      <c r="B108" s="11" t="s">
        <v>14</v>
      </c>
      <c r="C108">
        <v>4</v>
      </c>
      <c r="D108">
        <v>10</v>
      </c>
      <c r="E108" s="11" t="s">
        <v>202</v>
      </c>
      <c r="F108" s="3">
        <v>210</v>
      </c>
      <c r="G108" s="1">
        <v>44475</v>
      </c>
      <c r="H108" s="18">
        <v>320</v>
      </c>
      <c r="I108" s="19">
        <v>44494</v>
      </c>
      <c r="J108" s="1" t="s">
        <v>197</v>
      </c>
      <c r="L108">
        <f t="shared" si="3"/>
        <v>19</v>
      </c>
      <c r="M108" t="s">
        <v>206</v>
      </c>
      <c r="N108" s="2">
        <f t="shared" si="4"/>
        <v>110</v>
      </c>
      <c r="O108" s="2">
        <f t="shared" si="5"/>
        <v>110</v>
      </c>
      <c r="P108" s="5">
        <f>IFERROR(input_table[[#This Row],[est. profit]]/input_table[[#This Row],[Purchased]],)</f>
        <v>0.52380952380952384</v>
      </c>
      <c r="Q108"/>
      <c r="V108" s="2"/>
    </row>
    <row r="109" spans="1:22" x14ac:dyDescent="0.25">
      <c r="A109" s="11" t="s">
        <v>125</v>
      </c>
      <c r="B109" s="11" t="s">
        <v>10</v>
      </c>
      <c r="C109" t="s">
        <v>205</v>
      </c>
      <c r="D109" t="s">
        <v>107</v>
      </c>
      <c r="E109" s="11" t="s">
        <v>133</v>
      </c>
      <c r="F109" s="3">
        <v>34.39</v>
      </c>
      <c r="G109" s="1">
        <v>44493</v>
      </c>
      <c r="H109" s="18">
        <v>45</v>
      </c>
      <c r="I109" s="19">
        <v>44494</v>
      </c>
      <c r="J109" s="1" t="s">
        <v>197</v>
      </c>
      <c r="L109">
        <f t="shared" si="3"/>
        <v>1</v>
      </c>
      <c r="M109" t="s">
        <v>109</v>
      </c>
      <c r="N109" s="2">
        <f t="shared" si="4"/>
        <v>10.61</v>
      </c>
      <c r="O109" s="2">
        <f t="shared" si="5"/>
        <v>10.61</v>
      </c>
      <c r="P109" s="5">
        <f>IFERROR(input_table[[#This Row],[est. profit]]/input_table[[#This Row],[Purchased]],)</f>
        <v>0.30851991858098282</v>
      </c>
      <c r="Q109"/>
      <c r="V109" s="2"/>
    </row>
    <row r="110" spans="1:22" x14ac:dyDescent="0.25">
      <c r="A110" s="11" t="s">
        <v>125</v>
      </c>
      <c r="B110" s="11" t="s">
        <v>190</v>
      </c>
      <c r="C110" t="s">
        <v>207</v>
      </c>
      <c r="D110" t="s">
        <v>127</v>
      </c>
      <c r="E110" s="11" t="s">
        <v>133</v>
      </c>
      <c r="F110" s="3">
        <v>187.5</v>
      </c>
      <c r="G110" s="1">
        <v>44497</v>
      </c>
      <c r="H110" s="18">
        <v>250</v>
      </c>
      <c r="I110" s="19">
        <v>44496</v>
      </c>
      <c r="J110" s="1" t="s">
        <v>197</v>
      </c>
      <c r="L110">
        <f t="shared" si="3"/>
        <v>-1</v>
      </c>
      <c r="M110" t="s">
        <v>208</v>
      </c>
      <c r="N110" s="2">
        <f t="shared" si="4"/>
        <v>62.5</v>
      </c>
      <c r="O110" s="2">
        <f t="shared" si="5"/>
        <v>62.5</v>
      </c>
      <c r="P110" s="5">
        <f>IFERROR(input_table[[#This Row],[est. profit]]/input_table[[#This Row],[Purchased]],)</f>
        <v>0.33333333333333331</v>
      </c>
      <c r="Q110"/>
      <c r="V110" s="2"/>
    </row>
    <row r="111" spans="1:22" x14ac:dyDescent="0.25">
      <c r="A111" s="11" t="s">
        <v>125</v>
      </c>
      <c r="B111" s="11" t="s">
        <v>190</v>
      </c>
      <c r="C111" t="s">
        <v>191</v>
      </c>
      <c r="D111" t="s">
        <v>127</v>
      </c>
      <c r="E111" s="11" t="s">
        <v>138</v>
      </c>
      <c r="F111" s="3">
        <v>220</v>
      </c>
      <c r="G111" s="1">
        <v>44463</v>
      </c>
      <c r="H111" s="18">
        <v>320</v>
      </c>
      <c r="I111" s="19">
        <v>44497</v>
      </c>
      <c r="J111" s="1" t="s">
        <v>197</v>
      </c>
      <c r="L111">
        <f t="shared" si="3"/>
        <v>34</v>
      </c>
      <c r="M111" t="s">
        <v>163</v>
      </c>
      <c r="N111" s="2">
        <f t="shared" si="4"/>
        <v>100</v>
      </c>
      <c r="O111" s="2">
        <f t="shared" si="5"/>
        <v>100</v>
      </c>
      <c r="P111" s="5">
        <f>IFERROR(input_table[[#This Row],[est. profit]]/input_table[[#This Row],[Purchased]],)</f>
        <v>0.45454545454545453</v>
      </c>
      <c r="Q111"/>
      <c r="V111" s="2"/>
    </row>
    <row r="112" spans="1:22" x14ac:dyDescent="0.25">
      <c r="A112" s="11" t="s">
        <v>125</v>
      </c>
      <c r="B112" s="11" t="s">
        <v>190</v>
      </c>
      <c r="C112" t="s">
        <v>214</v>
      </c>
      <c r="D112" t="s">
        <v>176</v>
      </c>
      <c r="E112" s="11" t="s">
        <v>193</v>
      </c>
      <c r="F112" s="3">
        <v>180</v>
      </c>
      <c r="G112" s="1">
        <v>44469</v>
      </c>
      <c r="H112" s="18">
        <v>210</v>
      </c>
      <c r="I112" s="19">
        <v>44498</v>
      </c>
      <c r="J112" s="1" t="s">
        <v>197</v>
      </c>
      <c r="L112">
        <f t="shared" si="3"/>
        <v>29</v>
      </c>
      <c r="M112" t="s">
        <v>109</v>
      </c>
      <c r="N112" s="2">
        <f t="shared" si="4"/>
        <v>30</v>
      </c>
      <c r="O112" s="2">
        <f t="shared" si="5"/>
        <v>30</v>
      </c>
      <c r="P112" s="5">
        <f>IFERROR(input_table[[#This Row],[est. profit]]/input_table[[#This Row],[Purchased]],)</f>
        <v>0.16666666666666666</v>
      </c>
      <c r="Q112"/>
      <c r="V112" s="2"/>
    </row>
    <row r="113" spans="1:22" x14ac:dyDescent="0.25">
      <c r="A113" s="11" t="s">
        <v>9</v>
      </c>
      <c r="B113" s="11" t="s">
        <v>10</v>
      </c>
      <c r="C113" t="s">
        <v>209</v>
      </c>
      <c r="D113" t="s">
        <v>211</v>
      </c>
      <c r="E113" s="11" t="s">
        <v>165</v>
      </c>
      <c r="F113" s="3">
        <v>36</v>
      </c>
      <c r="G113" s="1">
        <v>44497</v>
      </c>
      <c r="H113" s="18">
        <v>50</v>
      </c>
      <c r="I113" s="19">
        <v>44503</v>
      </c>
      <c r="J113" s="1" t="s">
        <v>216</v>
      </c>
      <c r="L113">
        <f t="shared" si="3"/>
        <v>6</v>
      </c>
      <c r="M113" t="s">
        <v>69</v>
      </c>
      <c r="N113" s="2">
        <f t="shared" si="4"/>
        <v>14</v>
      </c>
      <c r="O113" s="2">
        <f t="shared" si="5"/>
        <v>14</v>
      </c>
      <c r="P113" s="5">
        <f>IFERROR(input_table[[#This Row],[est. profit]]/input_table[[#This Row],[Purchased]],)</f>
        <v>0.3888888888888889</v>
      </c>
      <c r="Q113"/>
      <c r="V113" s="2"/>
    </row>
    <row r="114" spans="1:22" x14ac:dyDescent="0.25">
      <c r="A114" s="11" t="s">
        <v>9</v>
      </c>
      <c r="B114" s="11" t="s">
        <v>10</v>
      </c>
      <c r="C114" t="s">
        <v>209</v>
      </c>
      <c r="D114" t="s">
        <v>210</v>
      </c>
      <c r="E114" s="11" t="s">
        <v>165</v>
      </c>
      <c r="F114" s="3">
        <v>36</v>
      </c>
      <c r="G114" s="1">
        <v>44497</v>
      </c>
      <c r="H114" s="18">
        <v>50</v>
      </c>
      <c r="I114" s="19">
        <v>44505</v>
      </c>
      <c r="J114" s="1" t="s">
        <v>216</v>
      </c>
      <c r="L114">
        <f t="shared" si="3"/>
        <v>8</v>
      </c>
      <c r="M114" t="s">
        <v>68</v>
      </c>
      <c r="N114" s="2">
        <f t="shared" si="4"/>
        <v>14</v>
      </c>
      <c r="O114" s="2">
        <f t="shared" si="5"/>
        <v>14</v>
      </c>
      <c r="P114" s="5">
        <f>IFERROR(input_table[[#This Row],[est. profit]]/input_table[[#This Row],[Purchased]],)</f>
        <v>0.3888888888888889</v>
      </c>
      <c r="Q114"/>
      <c r="V114" s="2"/>
    </row>
    <row r="115" spans="1:22" x14ac:dyDescent="0.25">
      <c r="A115" s="11" t="s">
        <v>9</v>
      </c>
      <c r="B115" s="11" t="s">
        <v>10</v>
      </c>
      <c r="C115" t="s">
        <v>209</v>
      </c>
      <c r="D115" t="s">
        <v>210</v>
      </c>
      <c r="E115" s="11" t="s">
        <v>165</v>
      </c>
      <c r="F115" s="3">
        <v>36</v>
      </c>
      <c r="G115" s="1">
        <v>44497</v>
      </c>
      <c r="H115" s="18">
        <v>50</v>
      </c>
      <c r="I115" s="19">
        <v>44508</v>
      </c>
      <c r="J115" s="1" t="s">
        <v>216</v>
      </c>
      <c r="L115">
        <f t="shared" si="3"/>
        <v>11</v>
      </c>
      <c r="M115" t="s">
        <v>68</v>
      </c>
      <c r="N115" s="2">
        <f t="shared" si="4"/>
        <v>14</v>
      </c>
      <c r="O115" s="2">
        <f t="shared" si="5"/>
        <v>14</v>
      </c>
      <c r="P115" s="5">
        <f>IFERROR(input_table[[#This Row],[est. profit]]/input_table[[#This Row],[Purchased]],)</f>
        <v>0.3888888888888889</v>
      </c>
      <c r="Q115"/>
      <c r="V115" s="2"/>
    </row>
    <row r="116" spans="1:22" x14ac:dyDescent="0.25">
      <c r="A116" s="11" t="s">
        <v>9</v>
      </c>
      <c r="B116" s="11" t="s">
        <v>10</v>
      </c>
      <c r="C116" t="s">
        <v>103</v>
      </c>
      <c r="D116">
        <v>8</v>
      </c>
      <c r="E116" s="11" t="s">
        <v>112</v>
      </c>
      <c r="F116" s="3">
        <v>83</v>
      </c>
      <c r="G116" s="1">
        <v>44472</v>
      </c>
      <c r="H116" s="18">
        <v>140</v>
      </c>
      <c r="I116" s="19">
        <v>44512</v>
      </c>
      <c r="J116" s="1" t="s">
        <v>216</v>
      </c>
      <c r="L116">
        <f t="shared" si="3"/>
        <v>40</v>
      </c>
      <c r="M116" t="s">
        <v>163</v>
      </c>
      <c r="N116" s="2">
        <f t="shared" si="4"/>
        <v>57</v>
      </c>
      <c r="O116" s="2">
        <f t="shared" si="5"/>
        <v>57</v>
      </c>
      <c r="P116" s="5">
        <f>IFERROR(input_table[[#This Row],[est. profit]]/input_table[[#This Row],[Purchased]],)</f>
        <v>0.68674698795180722</v>
      </c>
      <c r="Q116"/>
      <c r="V116" s="2"/>
    </row>
    <row r="117" spans="1:22" x14ac:dyDescent="0.25">
      <c r="A117" s="11" t="s">
        <v>9</v>
      </c>
      <c r="B117" s="11" t="s">
        <v>14</v>
      </c>
      <c r="C117">
        <v>4</v>
      </c>
      <c r="D117">
        <v>10</v>
      </c>
      <c r="E117" s="11" t="s">
        <v>220</v>
      </c>
      <c r="F117" s="3">
        <v>151</v>
      </c>
      <c r="G117" s="1">
        <v>44505</v>
      </c>
      <c r="H117" s="18">
        <v>210</v>
      </c>
      <c r="I117" s="19">
        <v>44513</v>
      </c>
      <c r="J117" s="1" t="s">
        <v>216</v>
      </c>
      <c r="L117">
        <f t="shared" si="3"/>
        <v>8</v>
      </c>
      <c r="M117" t="s">
        <v>206</v>
      </c>
      <c r="N117" s="2">
        <f t="shared" si="4"/>
        <v>59</v>
      </c>
      <c r="O117" s="2">
        <f t="shared" si="5"/>
        <v>59</v>
      </c>
      <c r="P117" s="5">
        <f>IFERROR(input_table[[#This Row],[est. profit]]/input_table[[#This Row],[Purchased]],)</f>
        <v>0.39072847682119205</v>
      </c>
      <c r="Q117"/>
      <c r="V117" s="2"/>
    </row>
    <row r="118" spans="1:22" x14ac:dyDescent="0.25">
      <c r="A118" s="11" t="s">
        <v>9</v>
      </c>
      <c r="B118" s="11" t="s">
        <v>14</v>
      </c>
      <c r="C118">
        <v>4</v>
      </c>
      <c r="D118">
        <v>7.5</v>
      </c>
      <c r="E118" s="11" t="s">
        <v>221</v>
      </c>
      <c r="F118" s="3">
        <v>125</v>
      </c>
      <c r="G118" s="1">
        <v>44510</v>
      </c>
      <c r="H118" s="18">
        <v>200</v>
      </c>
      <c r="I118" s="19">
        <v>44522</v>
      </c>
      <c r="J118" s="1" t="s">
        <v>216</v>
      </c>
      <c r="L118">
        <f t="shared" si="3"/>
        <v>12</v>
      </c>
      <c r="M118" t="s">
        <v>109</v>
      </c>
      <c r="N118" s="2">
        <f t="shared" si="4"/>
        <v>75</v>
      </c>
      <c r="O118" s="2">
        <f t="shared" si="5"/>
        <v>75</v>
      </c>
      <c r="P118" s="5">
        <f>IFERROR(input_table[[#This Row],[est. profit]]/input_table[[#This Row],[Purchased]],)</f>
        <v>0.6</v>
      </c>
      <c r="Q118"/>
      <c r="V118" s="2"/>
    </row>
    <row r="119" spans="1:22" x14ac:dyDescent="0.25">
      <c r="A119" s="11" t="s">
        <v>9</v>
      </c>
      <c r="B119" s="11" t="s">
        <v>14</v>
      </c>
      <c r="C119" t="s">
        <v>15</v>
      </c>
      <c r="D119">
        <v>7.5</v>
      </c>
      <c r="E119" s="11" t="s">
        <v>222</v>
      </c>
      <c r="F119" s="3">
        <v>110</v>
      </c>
      <c r="G119" s="1">
        <v>44512</v>
      </c>
      <c r="H119" s="18">
        <v>165</v>
      </c>
      <c r="I119" s="19">
        <v>44524</v>
      </c>
      <c r="J119" s="1" t="s">
        <v>216</v>
      </c>
      <c r="L119">
        <f t="shared" si="3"/>
        <v>12</v>
      </c>
      <c r="M119" t="s">
        <v>206</v>
      </c>
      <c r="N119" s="2">
        <f t="shared" si="4"/>
        <v>55</v>
      </c>
      <c r="O119" s="2">
        <f t="shared" si="5"/>
        <v>55</v>
      </c>
      <c r="P119" s="5">
        <f>IFERROR(input_table[[#This Row],[est. profit]]/input_table[[#This Row],[Purchased]],)</f>
        <v>0.5</v>
      </c>
      <c r="Q119"/>
      <c r="V119" s="2"/>
    </row>
    <row r="120" spans="1:22" x14ac:dyDescent="0.25">
      <c r="A120" s="11" t="s">
        <v>125</v>
      </c>
      <c r="B120" s="11" t="s">
        <v>190</v>
      </c>
      <c r="C120" t="s">
        <v>226</v>
      </c>
      <c r="D120" t="s">
        <v>176</v>
      </c>
      <c r="E120" s="11" t="s">
        <v>227</v>
      </c>
      <c r="F120" s="3">
        <v>220</v>
      </c>
      <c r="G120" s="1">
        <v>44525</v>
      </c>
      <c r="H120" s="18">
        <v>280</v>
      </c>
      <c r="I120" s="19">
        <v>44524</v>
      </c>
      <c r="J120" s="1" t="s">
        <v>216</v>
      </c>
      <c r="L120">
        <f t="shared" si="3"/>
        <v>-1</v>
      </c>
      <c r="M120" t="s">
        <v>208</v>
      </c>
      <c r="N120" s="2">
        <f t="shared" si="4"/>
        <v>60</v>
      </c>
      <c r="O120" s="2">
        <f t="shared" si="5"/>
        <v>60</v>
      </c>
      <c r="P120" s="5">
        <f>IFERROR(input_table[[#This Row],[est. profit]]/input_table[[#This Row],[Purchased]],)</f>
        <v>0.27272727272727271</v>
      </c>
      <c r="Q120"/>
      <c r="V120" s="2"/>
    </row>
    <row r="121" spans="1:22" x14ac:dyDescent="0.25">
      <c r="A121" s="11" t="s">
        <v>9</v>
      </c>
      <c r="B121" s="11" t="s">
        <v>14</v>
      </c>
      <c r="C121" t="s">
        <v>217</v>
      </c>
      <c r="D121">
        <v>4.5</v>
      </c>
      <c r="E121" s="11" t="s">
        <v>218</v>
      </c>
      <c r="F121" s="3">
        <v>105.3</v>
      </c>
      <c r="G121" s="1">
        <v>44504</v>
      </c>
      <c r="H121" s="18">
        <v>155</v>
      </c>
      <c r="I121" s="19">
        <v>44527</v>
      </c>
      <c r="J121" s="1" t="s">
        <v>216</v>
      </c>
      <c r="L121">
        <f t="shared" si="3"/>
        <v>23</v>
      </c>
      <c r="M121" t="s">
        <v>69</v>
      </c>
      <c r="N121" s="2">
        <f t="shared" si="4"/>
        <v>49.7</v>
      </c>
      <c r="O121" s="2">
        <f t="shared" si="5"/>
        <v>49.7</v>
      </c>
      <c r="P121" s="5">
        <f>IFERROR(input_table[[#This Row],[est. profit]]/input_table[[#This Row],[Purchased]],)</f>
        <v>0.47198480531813869</v>
      </c>
      <c r="Q121"/>
      <c r="V121" s="2"/>
    </row>
    <row r="122" spans="1:22" x14ac:dyDescent="0.25">
      <c r="A122" s="11" t="s">
        <v>9</v>
      </c>
      <c r="B122" s="11" t="s">
        <v>120</v>
      </c>
      <c r="C122" t="s">
        <v>43</v>
      </c>
      <c r="D122">
        <v>6.5</v>
      </c>
      <c r="E122" s="11" t="s">
        <v>131</v>
      </c>
      <c r="F122" s="3">
        <v>100</v>
      </c>
      <c r="G122" s="1">
        <v>44505</v>
      </c>
      <c r="H122" s="18">
        <v>145</v>
      </c>
      <c r="I122" s="19">
        <v>44531</v>
      </c>
      <c r="J122" s="1" t="s">
        <v>232</v>
      </c>
      <c r="L122">
        <f t="shared" si="3"/>
        <v>26</v>
      </c>
      <c r="M122" t="s">
        <v>69</v>
      </c>
      <c r="N122" s="2">
        <f t="shared" si="4"/>
        <v>45</v>
      </c>
      <c r="O122" s="2">
        <f t="shared" si="5"/>
        <v>45</v>
      </c>
      <c r="P122" s="5">
        <f>IFERROR(input_table[[#This Row],[est. profit]]/input_table[[#This Row],[Purchased]],)</f>
        <v>0.45</v>
      </c>
      <c r="Q122"/>
      <c r="V122" s="2"/>
    </row>
    <row r="123" spans="1:22" x14ac:dyDescent="0.25">
      <c r="A123" s="11" t="s">
        <v>125</v>
      </c>
      <c r="B123" s="11" t="s">
        <v>10</v>
      </c>
      <c r="C123" t="s">
        <v>106</v>
      </c>
      <c r="D123" t="s">
        <v>194</v>
      </c>
      <c r="E123" s="11" t="s">
        <v>234</v>
      </c>
      <c r="F123" s="3">
        <v>230</v>
      </c>
      <c r="G123" s="1">
        <v>44532</v>
      </c>
      <c r="H123" s="18">
        <v>290</v>
      </c>
      <c r="I123" s="19">
        <v>44531</v>
      </c>
      <c r="J123" s="1" t="s">
        <v>232</v>
      </c>
      <c r="L123">
        <f t="shared" si="3"/>
        <v>-1</v>
      </c>
      <c r="M123" t="s">
        <v>206</v>
      </c>
      <c r="N123" s="2">
        <f t="shared" si="4"/>
        <v>60</v>
      </c>
      <c r="O123" s="2">
        <f t="shared" si="5"/>
        <v>60</v>
      </c>
      <c r="P123" s="5">
        <f>IFERROR(input_table[[#This Row],[est. profit]]/input_table[[#This Row],[Purchased]],)</f>
        <v>0.2608695652173913</v>
      </c>
      <c r="Q123"/>
      <c r="V123" s="2"/>
    </row>
    <row r="124" spans="1:22" x14ac:dyDescent="0.25">
      <c r="A124" s="11" t="s">
        <v>125</v>
      </c>
      <c r="B124" s="11" t="s">
        <v>10</v>
      </c>
      <c r="C124" t="s">
        <v>106</v>
      </c>
      <c r="D124" t="s">
        <v>194</v>
      </c>
      <c r="E124" s="11" t="s">
        <v>233</v>
      </c>
      <c r="F124" s="3">
        <v>225</v>
      </c>
      <c r="G124" s="1">
        <v>44532</v>
      </c>
      <c r="H124" s="18">
        <v>285</v>
      </c>
      <c r="I124" s="19">
        <v>44531</v>
      </c>
      <c r="J124" s="1" t="s">
        <v>232</v>
      </c>
      <c r="L124">
        <f t="shared" si="3"/>
        <v>-1</v>
      </c>
      <c r="M124" t="s">
        <v>206</v>
      </c>
      <c r="N124" s="2">
        <f t="shared" si="4"/>
        <v>60</v>
      </c>
      <c r="O124" s="2">
        <f t="shared" si="5"/>
        <v>60</v>
      </c>
      <c r="P124" s="5">
        <f>IFERROR(input_table[[#This Row],[est. profit]]/input_table[[#This Row],[Purchased]],)</f>
        <v>0.26666666666666666</v>
      </c>
      <c r="Q124"/>
      <c r="V124" s="2"/>
    </row>
    <row r="125" spans="1:22" x14ac:dyDescent="0.25">
      <c r="A125" s="11" t="s">
        <v>9</v>
      </c>
      <c r="B125" s="11" t="s">
        <v>14</v>
      </c>
      <c r="C125">
        <v>4</v>
      </c>
      <c r="D125">
        <v>8.5</v>
      </c>
      <c r="E125" s="11" t="s">
        <v>165</v>
      </c>
      <c r="F125" s="3">
        <v>290</v>
      </c>
      <c r="G125" s="1">
        <v>44459</v>
      </c>
      <c r="H125" s="18">
        <v>365</v>
      </c>
      <c r="I125" s="19">
        <v>44535</v>
      </c>
      <c r="J125" s="1" t="s">
        <v>232</v>
      </c>
      <c r="L125">
        <f t="shared" si="3"/>
        <v>76</v>
      </c>
      <c r="M125" t="s">
        <v>68</v>
      </c>
      <c r="N125" s="2">
        <f t="shared" si="4"/>
        <v>75</v>
      </c>
      <c r="O125" s="2">
        <f t="shared" si="5"/>
        <v>75</v>
      </c>
      <c r="P125" s="5">
        <f>IFERROR(input_table[[#This Row],[est. profit]]/input_table[[#This Row],[Purchased]],)</f>
        <v>0.25862068965517243</v>
      </c>
      <c r="Q125"/>
      <c r="V125" s="2"/>
    </row>
    <row r="126" spans="1:22" x14ac:dyDescent="0.25">
      <c r="A126" s="11" t="s">
        <v>125</v>
      </c>
      <c r="B126" s="11" t="s">
        <v>190</v>
      </c>
      <c r="C126" t="s">
        <v>228</v>
      </c>
      <c r="D126" t="s">
        <v>176</v>
      </c>
      <c r="E126" s="11" t="s">
        <v>230</v>
      </c>
      <c r="F126" s="3">
        <v>170</v>
      </c>
      <c r="G126" s="1">
        <v>44525</v>
      </c>
      <c r="H126" s="18">
        <v>203</v>
      </c>
      <c r="I126" s="19">
        <v>44535</v>
      </c>
      <c r="J126" s="1" t="s">
        <v>232</v>
      </c>
      <c r="L126">
        <f t="shared" si="3"/>
        <v>10</v>
      </c>
      <c r="M126" t="s">
        <v>238</v>
      </c>
      <c r="N126" s="2">
        <f t="shared" si="4"/>
        <v>33</v>
      </c>
      <c r="O126" s="2">
        <f t="shared" si="5"/>
        <v>33</v>
      </c>
      <c r="P126" s="5">
        <f>IFERROR(input_table[[#This Row],[est. profit]]/input_table[[#This Row],[Purchased]],)</f>
        <v>0.19411764705882353</v>
      </c>
      <c r="Q126"/>
      <c r="V126" s="2"/>
    </row>
    <row r="127" spans="1:22" x14ac:dyDescent="0.25">
      <c r="A127" s="11" t="s">
        <v>9</v>
      </c>
      <c r="B127" s="11" t="s">
        <v>14</v>
      </c>
      <c r="C127" t="s">
        <v>15</v>
      </c>
      <c r="D127">
        <v>10</v>
      </c>
      <c r="E127" s="11" t="s">
        <v>239</v>
      </c>
      <c r="F127" s="3">
        <v>115</v>
      </c>
      <c r="G127" s="1">
        <v>44534</v>
      </c>
      <c r="H127" s="18">
        <v>140</v>
      </c>
      <c r="I127" s="19">
        <v>44536</v>
      </c>
      <c r="J127" s="1" t="s">
        <v>232</v>
      </c>
      <c r="L127">
        <f t="shared" si="3"/>
        <v>2</v>
      </c>
      <c r="M127" t="s">
        <v>69</v>
      </c>
      <c r="N127" s="2">
        <f t="shared" si="4"/>
        <v>25</v>
      </c>
      <c r="O127" s="2">
        <f t="shared" si="5"/>
        <v>25</v>
      </c>
      <c r="P127" s="5">
        <f>IFERROR(input_table[[#This Row],[est. profit]]/input_table[[#This Row],[Purchased]],)</f>
        <v>0.21739130434782608</v>
      </c>
      <c r="Q127"/>
      <c r="V127" s="2"/>
    </row>
    <row r="128" spans="1:22" x14ac:dyDescent="0.25">
      <c r="A128" s="11" t="s">
        <v>125</v>
      </c>
      <c r="B128" s="11" t="s">
        <v>190</v>
      </c>
      <c r="C128" t="s">
        <v>212</v>
      </c>
      <c r="D128" t="s">
        <v>176</v>
      </c>
      <c r="E128" s="11" t="s">
        <v>213</v>
      </c>
      <c r="F128" s="3">
        <v>205.45</v>
      </c>
      <c r="G128" s="1">
        <v>44497</v>
      </c>
      <c r="H128" s="18">
        <v>270</v>
      </c>
      <c r="I128" s="19">
        <v>44539</v>
      </c>
      <c r="J128" s="1" t="s">
        <v>232</v>
      </c>
      <c r="L128">
        <f t="shared" si="3"/>
        <v>42</v>
      </c>
      <c r="M128" t="s">
        <v>163</v>
      </c>
      <c r="N128" s="2">
        <f t="shared" si="4"/>
        <v>64.550000000000011</v>
      </c>
      <c r="O128" s="2">
        <f t="shared" si="5"/>
        <v>64.550000000000011</v>
      </c>
      <c r="P128" s="5">
        <f>IFERROR(input_table[[#This Row],[est. profit]]/input_table[[#This Row],[Purchased]],)</f>
        <v>0.31418836699926994</v>
      </c>
      <c r="Q128"/>
      <c r="V128" s="2"/>
    </row>
    <row r="129" spans="1:22" x14ac:dyDescent="0.25">
      <c r="A129" s="11" t="s">
        <v>125</v>
      </c>
      <c r="B129" s="11" t="s">
        <v>190</v>
      </c>
      <c r="C129" t="s">
        <v>228</v>
      </c>
      <c r="D129" t="s">
        <v>194</v>
      </c>
      <c r="E129" s="11" t="s">
        <v>231</v>
      </c>
      <c r="F129" s="3">
        <v>175.45</v>
      </c>
      <c r="G129" s="1">
        <v>44526</v>
      </c>
      <c r="H129" s="18">
        <v>250</v>
      </c>
      <c r="I129" s="19">
        <v>44539</v>
      </c>
      <c r="J129" s="1" t="s">
        <v>232</v>
      </c>
      <c r="L129">
        <f t="shared" si="3"/>
        <v>13</v>
      </c>
      <c r="M129" t="s">
        <v>206</v>
      </c>
      <c r="N129" s="2">
        <f t="shared" si="4"/>
        <v>74.550000000000011</v>
      </c>
      <c r="O129" s="2">
        <f t="shared" si="5"/>
        <v>74.550000000000011</v>
      </c>
      <c r="P129" s="5">
        <f>IFERROR(input_table[[#This Row],[est. profit]]/input_table[[#This Row],[Purchased]],)</f>
        <v>0.42490738102023379</v>
      </c>
      <c r="Q129"/>
      <c r="V129" s="2"/>
    </row>
    <row r="130" spans="1:22" x14ac:dyDescent="0.25">
      <c r="A130" s="11" t="s">
        <v>125</v>
      </c>
      <c r="B130" s="11" t="s">
        <v>120</v>
      </c>
      <c r="C130" t="s">
        <v>242</v>
      </c>
      <c r="D130" t="s">
        <v>130</v>
      </c>
      <c r="E130" s="11" t="s">
        <v>243</v>
      </c>
      <c r="F130" s="3">
        <v>163</v>
      </c>
      <c r="G130" s="1">
        <v>44539</v>
      </c>
      <c r="H130" s="18">
        <v>240</v>
      </c>
      <c r="I130" s="19">
        <v>44547</v>
      </c>
      <c r="J130" s="1" t="s">
        <v>232</v>
      </c>
      <c r="L130">
        <f t="shared" ref="L130:L155" si="6">IF(I130&lt;&gt;"",I130-G130,"")</f>
        <v>8</v>
      </c>
      <c r="M130" t="s">
        <v>163</v>
      </c>
      <c r="N130" s="2">
        <f t="shared" ref="N130:N155" si="7">(K130+H130)-F130</f>
        <v>77</v>
      </c>
      <c r="O130" s="2">
        <f t="shared" ref="O130:O155" si="8">IF(H130&lt;&gt;"",H130-F130,"")</f>
        <v>77</v>
      </c>
      <c r="P130" s="5">
        <f>IFERROR(input_table[[#This Row],[est. profit]]/input_table[[#This Row],[Purchased]],)</f>
        <v>0.47239263803680981</v>
      </c>
      <c r="Q130"/>
      <c r="V130" s="2"/>
    </row>
    <row r="131" spans="1:22" x14ac:dyDescent="0.25">
      <c r="A131" s="11" t="s">
        <v>125</v>
      </c>
      <c r="B131" s="11" t="s">
        <v>190</v>
      </c>
      <c r="C131" t="s">
        <v>228</v>
      </c>
      <c r="D131" t="s">
        <v>176</v>
      </c>
      <c r="E131" s="11" t="s">
        <v>229</v>
      </c>
      <c r="F131" s="3">
        <v>170</v>
      </c>
      <c r="G131" s="1">
        <v>44525</v>
      </c>
      <c r="H131" s="18">
        <v>215</v>
      </c>
      <c r="I131" s="19">
        <v>44551</v>
      </c>
      <c r="J131" s="1" t="s">
        <v>232</v>
      </c>
      <c r="L131">
        <f t="shared" si="6"/>
        <v>26</v>
      </c>
      <c r="M131" t="s">
        <v>163</v>
      </c>
      <c r="N131" s="2">
        <f t="shared" si="7"/>
        <v>45</v>
      </c>
      <c r="O131" s="2">
        <f t="shared" si="8"/>
        <v>45</v>
      </c>
      <c r="P131" s="5">
        <f>IFERROR(input_table[[#This Row],[est. profit]]/input_table[[#This Row],[Purchased]],)</f>
        <v>0.26470588235294118</v>
      </c>
      <c r="Q131"/>
      <c r="V131" s="2"/>
    </row>
    <row r="132" spans="1:22" ht="15.75" customHeight="1" x14ac:dyDescent="0.25">
      <c r="A132" s="11" t="s">
        <v>9</v>
      </c>
      <c r="B132" s="11" t="s">
        <v>14</v>
      </c>
      <c r="C132" t="s">
        <v>236</v>
      </c>
      <c r="D132">
        <v>10</v>
      </c>
      <c r="E132" s="11" t="s">
        <v>237</v>
      </c>
      <c r="F132" s="3">
        <v>299</v>
      </c>
      <c r="G132" s="1">
        <v>44534</v>
      </c>
      <c r="H132" s="18">
        <v>299</v>
      </c>
      <c r="I132" s="19">
        <v>44552</v>
      </c>
      <c r="J132" s="1" t="s">
        <v>232</v>
      </c>
      <c r="L132">
        <f t="shared" si="6"/>
        <v>18</v>
      </c>
      <c r="M132" t="s">
        <v>252</v>
      </c>
      <c r="N132" s="2">
        <f t="shared" si="7"/>
        <v>0</v>
      </c>
      <c r="O132" s="2">
        <f t="shared" si="8"/>
        <v>0</v>
      </c>
      <c r="P132" s="5">
        <f>IFERROR(input_table[[#This Row],[est. profit]]/input_table[[#This Row],[Purchased]],)</f>
        <v>0</v>
      </c>
      <c r="Q132"/>
      <c r="V132" s="2"/>
    </row>
    <row r="133" spans="1:22" x14ac:dyDescent="0.25">
      <c r="A133" s="11" t="s">
        <v>9</v>
      </c>
      <c r="B133" s="11" t="s">
        <v>120</v>
      </c>
      <c r="C133" t="s">
        <v>240</v>
      </c>
      <c r="D133">
        <v>8</v>
      </c>
      <c r="E133" s="11" t="s">
        <v>241</v>
      </c>
      <c r="F133" s="3">
        <v>414</v>
      </c>
      <c r="G133" s="1">
        <v>44537</v>
      </c>
      <c r="H133" s="18">
        <v>414</v>
      </c>
      <c r="I133" s="19">
        <v>44552</v>
      </c>
      <c r="J133" s="1" t="s">
        <v>232</v>
      </c>
      <c r="L133">
        <f t="shared" si="6"/>
        <v>15</v>
      </c>
      <c r="M133" t="s">
        <v>252</v>
      </c>
      <c r="N133" s="2">
        <f t="shared" si="7"/>
        <v>0</v>
      </c>
      <c r="O133" s="2">
        <f t="shared" si="8"/>
        <v>0</v>
      </c>
      <c r="P133" s="5">
        <f>IFERROR(input_table[[#This Row],[est. profit]]/input_table[[#This Row],[Purchased]],)</f>
        <v>0</v>
      </c>
      <c r="Q133"/>
      <c r="V133" s="2"/>
    </row>
    <row r="134" spans="1:22" x14ac:dyDescent="0.25">
      <c r="A134" s="11" t="s">
        <v>125</v>
      </c>
      <c r="B134" s="11" t="s">
        <v>190</v>
      </c>
      <c r="C134" t="s">
        <v>228</v>
      </c>
      <c r="D134" t="s">
        <v>176</v>
      </c>
      <c r="E134" s="11" t="s">
        <v>254</v>
      </c>
      <c r="F134" s="3">
        <v>175.45</v>
      </c>
      <c r="G134" s="1">
        <v>44555</v>
      </c>
      <c r="H134" s="18">
        <v>200</v>
      </c>
      <c r="I134" s="19">
        <v>44555</v>
      </c>
      <c r="J134" s="1" t="s">
        <v>232</v>
      </c>
      <c r="L134">
        <f t="shared" si="6"/>
        <v>0</v>
      </c>
      <c r="M134" t="s">
        <v>208</v>
      </c>
      <c r="N134" s="2">
        <f t="shared" si="7"/>
        <v>24.550000000000011</v>
      </c>
      <c r="O134" s="2">
        <f t="shared" si="8"/>
        <v>24.550000000000011</v>
      </c>
      <c r="P134" s="5">
        <f>IFERROR(input_table[[#This Row],[est. profit]]/input_table[[#This Row],[Purchased]],)</f>
        <v>0.13992590481618702</v>
      </c>
      <c r="Q134"/>
      <c r="V134" s="2"/>
    </row>
    <row r="135" spans="1:22" x14ac:dyDescent="0.25">
      <c r="A135" s="11" t="s">
        <v>9</v>
      </c>
      <c r="B135" s="11" t="s">
        <v>14</v>
      </c>
      <c r="C135" t="s">
        <v>200</v>
      </c>
      <c r="D135">
        <v>4.5</v>
      </c>
      <c r="E135" s="11" t="s">
        <v>201</v>
      </c>
      <c r="F135" s="3">
        <v>21</v>
      </c>
      <c r="G135" s="1">
        <v>44472</v>
      </c>
      <c r="H135" s="18"/>
      <c r="I135" s="19"/>
      <c r="K135" s="2">
        <v>22</v>
      </c>
      <c r="L135" t="str">
        <f t="shared" si="6"/>
        <v/>
      </c>
      <c r="N135" s="2">
        <f t="shared" si="7"/>
        <v>1</v>
      </c>
      <c r="O135" s="2" t="str">
        <f t="shared" si="8"/>
        <v/>
      </c>
      <c r="P135" s="5">
        <f>IFERROR(input_table[[#This Row],[est. profit]]/input_table[[#This Row],[Purchased]],)</f>
        <v>4.7619047619047616E-2</v>
      </c>
      <c r="Q135"/>
      <c r="V135" s="2"/>
    </row>
    <row r="136" spans="1:22" x14ac:dyDescent="0.25">
      <c r="A136" s="11" t="s">
        <v>125</v>
      </c>
      <c r="B136" s="11" t="s">
        <v>223</v>
      </c>
      <c r="C136" t="s">
        <v>224</v>
      </c>
      <c r="D136" t="s">
        <v>194</v>
      </c>
      <c r="E136" s="11" t="s">
        <v>225</v>
      </c>
      <c r="F136" s="3">
        <v>233</v>
      </c>
      <c r="G136" s="1">
        <v>44521</v>
      </c>
      <c r="H136" s="18">
        <v>300</v>
      </c>
      <c r="I136" s="19">
        <v>44557</v>
      </c>
      <c r="J136" s="1" t="s">
        <v>232</v>
      </c>
      <c r="L136">
        <f t="shared" si="6"/>
        <v>36</v>
      </c>
      <c r="M136" t="s">
        <v>206</v>
      </c>
      <c r="N136" s="2">
        <f t="shared" si="7"/>
        <v>67</v>
      </c>
      <c r="O136" s="2">
        <f t="shared" si="8"/>
        <v>67</v>
      </c>
      <c r="P136" s="5">
        <f>IFERROR(input_table[[#This Row],[est. profit]]/input_table[[#This Row],[Purchased]],)</f>
        <v>0.28755364806866951</v>
      </c>
      <c r="Q136"/>
      <c r="V136" s="2"/>
    </row>
    <row r="137" spans="1:22" x14ac:dyDescent="0.25">
      <c r="A137" s="11" t="s">
        <v>125</v>
      </c>
      <c r="B137" s="11" t="s">
        <v>10</v>
      </c>
      <c r="C137" t="s">
        <v>106</v>
      </c>
      <c r="D137" t="s">
        <v>247</v>
      </c>
      <c r="E137" s="11" t="s">
        <v>250</v>
      </c>
      <c r="F137" s="3">
        <v>109</v>
      </c>
      <c r="G137" s="1">
        <v>44544</v>
      </c>
      <c r="H137" s="18">
        <v>220</v>
      </c>
      <c r="I137" s="19">
        <v>44557</v>
      </c>
      <c r="J137" s="1" t="s">
        <v>232</v>
      </c>
      <c r="L137">
        <f t="shared" si="6"/>
        <v>13</v>
      </c>
      <c r="M137" t="s">
        <v>67</v>
      </c>
      <c r="N137" s="2">
        <f t="shared" si="7"/>
        <v>111</v>
      </c>
      <c r="O137" s="2">
        <f t="shared" si="8"/>
        <v>111</v>
      </c>
      <c r="P137" s="5">
        <f>IFERROR(input_table[[#This Row],[est. profit]]/input_table[[#This Row],[Purchased]],)</f>
        <v>1.0183486238532109</v>
      </c>
      <c r="Q137"/>
      <c r="V137" s="2"/>
    </row>
    <row r="138" spans="1:22" x14ac:dyDescent="0.25">
      <c r="A138" s="11" t="s">
        <v>9</v>
      </c>
      <c r="B138" s="11" t="s">
        <v>14</v>
      </c>
      <c r="C138" t="s">
        <v>15</v>
      </c>
      <c r="D138">
        <v>8.5</v>
      </c>
      <c r="E138" s="11" t="s">
        <v>17</v>
      </c>
      <c r="F138" s="3">
        <v>197</v>
      </c>
      <c r="G138" s="1">
        <v>44541</v>
      </c>
      <c r="H138" s="18">
        <v>245</v>
      </c>
      <c r="I138" s="19">
        <v>44558</v>
      </c>
      <c r="J138" s="1" t="s">
        <v>232</v>
      </c>
      <c r="L138">
        <f t="shared" si="6"/>
        <v>17</v>
      </c>
      <c r="M138" t="s">
        <v>256</v>
      </c>
      <c r="N138" s="2">
        <f t="shared" si="7"/>
        <v>48</v>
      </c>
      <c r="O138" s="2">
        <f t="shared" si="8"/>
        <v>48</v>
      </c>
      <c r="P138" s="5">
        <f>IFERROR(input_table[[#This Row],[est. profit]]/input_table[[#This Row],[Purchased]],)</f>
        <v>0.24365482233502539</v>
      </c>
      <c r="Q138"/>
      <c r="V138" s="2"/>
    </row>
    <row r="139" spans="1:22" x14ac:dyDescent="0.25">
      <c r="A139" s="11" t="s">
        <v>9</v>
      </c>
      <c r="B139" s="11" t="s">
        <v>169</v>
      </c>
      <c r="C139" t="s">
        <v>248</v>
      </c>
      <c r="D139">
        <v>9</v>
      </c>
      <c r="E139" s="11" t="s">
        <v>249</v>
      </c>
      <c r="F139" s="3">
        <v>50</v>
      </c>
      <c r="G139" s="1">
        <v>44543</v>
      </c>
      <c r="H139" s="18">
        <v>70</v>
      </c>
      <c r="I139" s="19">
        <v>44559</v>
      </c>
      <c r="J139" s="1" t="s">
        <v>232</v>
      </c>
      <c r="L139">
        <f t="shared" si="6"/>
        <v>16</v>
      </c>
      <c r="M139" t="s">
        <v>69</v>
      </c>
      <c r="N139" s="2">
        <f t="shared" si="7"/>
        <v>20</v>
      </c>
      <c r="O139" s="2">
        <f t="shared" si="8"/>
        <v>20</v>
      </c>
      <c r="P139" s="5">
        <f>IFERROR(input_table[[#This Row],[est. profit]]/input_table[[#This Row],[Purchased]],)</f>
        <v>0.4</v>
      </c>
      <c r="Q139"/>
      <c r="V139" s="2"/>
    </row>
    <row r="140" spans="1:22" x14ac:dyDescent="0.25">
      <c r="A140" s="11" t="s">
        <v>9</v>
      </c>
      <c r="B140" s="11" t="s">
        <v>10</v>
      </c>
      <c r="C140" t="s">
        <v>20</v>
      </c>
      <c r="D140">
        <v>5.5</v>
      </c>
      <c r="E140" s="11" t="s">
        <v>112</v>
      </c>
      <c r="F140" s="3">
        <v>100</v>
      </c>
      <c r="G140" s="1">
        <v>44552</v>
      </c>
      <c r="H140" s="18">
        <v>165</v>
      </c>
      <c r="I140" s="19">
        <v>44559</v>
      </c>
      <c r="J140" s="1" t="s">
        <v>232</v>
      </c>
      <c r="L140">
        <f t="shared" si="6"/>
        <v>7</v>
      </c>
      <c r="M140" t="s">
        <v>69</v>
      </c>
      <c r="N140" s="2">
        <f t="shared" si="7"/>
        <v>65</v>
      </c>
      <c r="O140" s="2">
        <f t="shared" si="8"/>
        <v>65</v>
      </c>
      <c r="P140" s="5">
        <f>IFERROR(input_table[[#This Row],[est. profit]]/input_table[[#This Row],[Purchased]],)</f>
        <v>0.65</v>
      </c>
      <c r="Q140"/>
      <c r="V140" s="2"/>
    </row>
    <row r="141" spans="1:22" x14ac:dyDescent="0.25">
      <c r="A141" s="11" t="s">
        <v>125</v>
      </c>
      <c r="B141" s="11" t="s">
        <v>223</v>
      </c>
      <c r="C141" t="s">
        <v>224</v>
      </c>
      <c r="D141" t="s">
        <v>176</v>
      </c>
      <c r="E141" s="11" t="s">
        <v>246</v>
      </c>
      <c r="F141" s="3">
        <v>237.5</v>
      </c>
      <c r="G141" s="1">
        <v>44542</v>
      </c>
      <c r="H141" s="18">
        <v>350</v>
      </c>
      <c r="I141" s="19">
        <v>44561</v>
      </c>
      <c r="J141" s="1" t="s">
        <v>232</v>
      </c>
      <c r="L141">
        <f t="shared" si="6"/>
        <v>19</v>
      </c>
      <c r="M141" t="s">
        <v>109</v>
      </c>
      <c r="N141" s="2">
        <f t="shared" si="7"/>
        <v>112.5</v>
      </c>
      <c r="O141" s="2">
        <f t="shared" si="8"/>
        <v>112.5</v>
      </c>
      <c r="P141" s="5">
        <f>IFERROR(input_table[[#This Row],[est. profit]]/input_table[[#This Row],[Purchased]],)</f>
        <v>0.47368421052631576</v>
      </c>
      <c r="Q141"/>
      <c r="V141" s="2"/>
    </row>
    <row r="142" spans="1:22" x14ac:dyDescent="0.25">
      <c r="A142" s="11" t="s">
        <v>9</v>
      </c>
      <c r="B142" s="11" t="s">
        <v>14</v>
      </c>
      <c r="C142">
        <v>4</v>
      </c>
      <c r="E142" s="11" t="s">
        <v>135</v>
      </c>
      <c r="F142" s="3">
        <v>240</v>
      </c>
      <c r="G142" s="1">
        <v>44395</v>
      </c>
      <c r="H142" s="18"/>
      <c r="I142" s="19"/>
      <c r="K142" s="2">
        <v>240</v>
      </c>
      <c r="L142" t="str">
        <f t="shared" si="6"/>
        <v/>
      </c>
      <c r="N142" s="2">
        <f t="shared" si="7"/>
        <v>0</v>
      </c>
      <c r="O142" s="2" t="str">
        <f t="shared" si="8"/>
        <v/>
      </c>
      <c r="P142" s="5">
        <f>IFERROR(input_table[[#This Row],[est. profit]]/input_table[[#This Row],[Purchased]],)</f>
        <v>0</v>
      </c>
      <c r="Q142"/>
      <c r="V142" s="2"/>
    </row>
    <row r="143" spans="1:22" x14ac:dyDescent="0.25">
      <c r="A143" s="11" t="s">
        <v>9</v>
      </c>
      <c r="B143" s="11" t="s">
        <v>14</v>
      </c>
      <c r="C143">
        <v>4</v>
      </c>
      <c r="E143" s="11" t="s">
        <v>135</v>
      </c>
      <c r="F143" s="3">
        <v>240</v>
      </c>
      <c r="G143" s="1">
        <v>44395</v>
      </c>
      <c r="H143" s="18"/>
      <c r="I143" s="19"/>
      <c r="K143" s="2">
        <v>240</v>
      </c>
      <c r="L143" t="str">
        <f t="shared" si="6"/>
        <v/>
      </c>
      <c r="N143" s="2">
        <f t="shared" si="7"/>
        <v>0</v>
      </c>
      <c r="O143" s="2" t="str">
        <f t="shared" si="8"/>
        <v/>
      </c>
      <c r="P143" s="5">
        <f>IFERROR(input_table[[#This Row],[est. profit]]/input_table[[#This Row],[Purchased]],)</f>
        <v>0</v>
      </c>
      <c r="Q143"/>
      <c r="V143" s="2"/>
    </row>
    <row r="144" spans="1:22" x14ac:dyDescent="0.25">
      <c r="A144" s="11" t="s">
        <v>9</v>
      </c>
      <c r="B144" s="11" t="s">
        <v>14</v>
      </c>
      <c r="C144" t="s">
        <v>166</v>
      </c>
      <c r="D144">
        <v>5.5</v>
      </c>
      <c r="E144" s="11" t="s">
        <v>219</v>
      </c>
      <c r="F144" s="3">
        <v>135.30000000000001</v>
      </c>
      <c r="G144" s="1">
        <v>44504</v>
      </c>
      <c r="H144" s="18"/>
      <c r="I144" s="19"/>
      <c r="K144" s="2">
        <v>150</v>
      </c>
      <c r="L144" t="str">
        <f t="shared" si="6"/>
        <v/>
      </c>
      <c r="N144" s="2">
        <f t="shared" si="7"/>
        <v>14.699999999999989</v>
      </c>
      <c r="O144" s="2" t="str">
        <f t="shared" si="8"/>
        <v/>
      </c>
      <c r="P144" s="5">
        <f>IFERROR(input_table[[#This Row],[est. profit]]/input_table[[#This Row],[Purchased]],)</f>
        <v>0.10864745011086466</v>
      </c>
      <c r="Q144"/>
      <c r="V144" s="2"/>
    </row>
    <row r="145" spans="1:22" x14ac:dyDescent="0.25">
      <c r="A145" s="11" t="s">
        <v>9</v>
      </c>
      <c r="B145" s="11" t="s">
        <v>14</v>
      </c>
      <c r="C145" t="s">
        <v>64</v>
      </c>
      <c r="D145">
        <v>6.5</v>
      </c>
      <c r="E145" s="11" t="s">
        <v>235</v>
      </c>
      <c r="F145" s="3">
        <v>209</v>
      </c>
      <c r="G145" s="1">
        <v>44534</v>
      </c>
      <c r="H145" s="18"/>
      <c r="I145" s="19"/>
      <c r="K145" s="2">
        <v>240</v>
      </c>
      <c r="L145" t="str">
        <f t="shared" si="6"/>
        <v/>
      </c>
      <c r="N145" s="2">
        <f t="shared" si="7"/>
        <v>31</v>
      </c>
      <c r="O145" s="2" t="str">
        <f t="shared" si="8"/>
        <v/>
      </c>
      <c r="P145" s="5">
        <f>IFERROR(input_table[[#This Row],[est. profit]]/input_table[[#This Row],[Purchased]],)</f>
        <v>0.14832535885167464</v>
      </c>
      <c r="Q145"/>
      <c r="V145" s="2"/>
    </row>
    <row r="146" spans="1:22" x14ac:dyDescent="0.25">
      <c r="A146" s="11" t="s">
        <v>9</v>
      </c>
      <c r="B146" s="11" t="s">
        <v>14</v>
      </c>
      <c r="C146">
        <v>4</v>
      </c>
      <c r="D146">
        <v>8</v>
      </c>
      <c r="E146" s="11" t="s">
        <v>244</v>
      </c>
      <c r="F146" s="3">
        <v>356</v>
      </c>
      <c r="G146" s="1">
        <v>44541</v>
      </c>
      <c r="H146" s="18"/>
      <c r="I146" s="19"/>
      <c r="K146" s="2">
        <v>450</v>
      </c>
      <c r="L146" t="str">
        <f t="shared" si="6"/>
        <v/>
      </c>
      <c r="N146" s="2">
        <f t="shared" si="7"/>
        <v>94</v>
      </c>
      <c r="O146" s="2" t="str">
        <f t="shared" si="8"/>
        <v/>
      </c>
      <c r="P146" s="5">
        <f>IFERROR(input_table[[#This Row],[est. profit]]/input_table[[#This Row],[Purchased]],)</f>
        <v>0.2640449438202247</v>
      </c>
      <c r="Q146"/>
      <c r="V146" s="2"/>
    </row>
    <row r="147" spans="1:22" x14ac:dyDescent="0.25">
      <c r="A147" s="11" t="s">
        <v>9</v>
      </c>
      <c r="B147" s="11" t="s">
        <v>169</v>
      </c>
      <c r="C147" t="s">
        <v>170</v>
      </c>
      <c r="D147">
        <v>8.5</v>
      </c>
      <c r="E147" s="11" t="s">
        <v>245</v>
      </c>
      <c r="F147" s="3">
        <v>107</v>
      </c>
      <c r="G147" s="1">
        <v>44541</v>
      </c>
      <c r="H147" s="18"/>
      <c r="I147" s="19"/>
      <c r="K147" s="2">
        <v>150</v>
      </c>
      <c r="L147" t="str">
        <f t="shared" si="6"/>
        <v/>
      </c>
      <c r="N147" s="2">
        <f t="shared" si="7"/>
        <v>43</v>
      </c>
      <c r="O147" s="2" t="str">
        <f t="shared" si="8"/>
        <v/>
      </c>
      <c r="P147" s="5">
        <f>IFERROR(input_table[[#This Row],[est. profit]]/input_table[[#This Row],[Purchased]],)</f>
        <v>0.40186915887850466</v>
      </c>
      <c r="Q147"/>
      <c r="V147" s="2"/>
    </row>
    <row r="148" spans="1:22" x14ac:dyDescent="0.25">
      <c r="A148" s="11" t="s">
        <v>9</v>
      </c>
      <c r="B148" s="11" t="s">
        <v>14</v>
      </c>
      <c r="C148" t="s">
        <v>79</v>
      </c>
      <c r="D148">
        <v>9</v>
      </c>
      <c r="E148" s="11" t="s">
        <v>253</v>
      </c>
      <c r="F148" s="3">
        <v>200</v>
      </c>
      <c r="G148" s="1">
        <v>44551</v>
      </c>
      <c r="H148" s="18"/>
      <c r="I148" s="19"/>
      <c r="K148" s="2">
        <v>250</v>
      </c>
      <c r="L148" t="str">
        <f t="shared" si="6"/>
        <v/>
      </c>
      <c r="N148" s="2">
        <f t="shared" si="7"/>
        <v>50</v>
      </c>
      <c r="O148" s="2" t="str">
        <f t="shared" si="8"/>
        <v/>
      </c>
      <c r="P148" s="5">
        <f>IFERROR(input_table[[#This Row],[est. profit]]/input_table[[#This Row],[Purchased]],)</f>
        <v>0.25</v>
      </c>
      <c r="Q148"/>
      <c r="V148" s="2"/>
    </row>
    <row r="149" spans="1:22" x14ac:dyDescent="0.25">
      <c r="A149" s="11" t="s">
        <v>9</v>
      </c>
      <c r="B149" s="11" t="s">
        <v>136</v>
      </c>
      <c r="C149" t="s">
        <v>20</v>
      </c>
      <c r="D149">
        <v>9</v>
      </c>
      <c r="E149" s="11" t="s">
        <v>251</v>
      </c>
      <c r="F149" s="3">
        <v>513</v>
      </c>
      <c r="G149" s="1">
        <v>44552</v>
      </c>
      <c r="H149" s="18"/>
      <c r="I149" s="19"/>
      <c r="K149" s="2">
        <v>700</v>
      </c>
      <c r="L149" t="str">
        <f t="shared" si="6"/>
        <v/>
      </c>
      <c r="N149" s="2">
        <f t="shared" si="7"/>
        <v>187</v>
      </c>
      <c r="O149" s="2" t="str">
        <f t="shared" si="8"/>
        <v/>
      </c>
      <c r="P149" s="5">
        <f>IFERROR(input_table[[#This Row],[est. profit]]/input_table[[#This Row],[Purchased]],)</f>
        <v>0.36452241715399608</v>
      </c>
      <c r="Q149"/>
      <c r="V149" s="2"/>
    </row>
    <row r="150" spans="1:22" x14ac:dyDescent="0.25">
      <c r="A150" s="11" t="s">
        <v>9</v>
      </c>
      <c r="B150" s="11" t="s">
        <v>10</v>
      </c>
      <c r="C150" t="s">
        <v>20</v>
      </c>
      <c r="D150">
        <v>8</v>
      </c>
      <c r="E150" s="11" t="s">
        <v>187</v>
      </c>
      <c r="F150" s="3">
        <v>100</v>
      </c>
      <c r="G150" s="1">
        <v>44552</v>
      </c>
      <c r="H150" s="18"/>
      <c r="I150" s="19"/>
      <c r="K150" s="2">
        <v>150</v>
      </c>
      <c r="L150" t="str">
        <f t="shared" si="6"/>
        <v/>
      </c>
      <c r="N150" s="2">
        <f t="shared" si="7"/>
        <v>50</v>
      </c>
      <c r="O150" s="2" t="str">
        <f t="shared" si="8"/>
        <v/>
      </c>
      <c r="P150" s="5">
        <f>IFERROR(input_table[[#This Row],[est. profit]]/input_table[[#This Row],[Purchased]],)</f>
        <v>0.5</v>
      </c>
      <c r="Q150"/>
      <c r="V150" s="2"/>
    </row>
    <row r="151" spans="1:22" x14ac:dyDescent="0.25">
      <c r="A151" s="11" t="s">
        <v>125</v>
      </c>
      <c r="B151" s="11" t="s">
        <v>10</v>
      </c>
      <c r="C151" t="s">
        <v>106</v>
      </c>
      <c r="D151" t="s">
        <v>247</v>
      </c>
      <c r="E151" s="11" t="s">
        <v>234</v>
      </c>
      <c r="F151" s="3">
        <v>162</v>
      </c>
      <c r="G151" s="1">
        <v>44553</v>
      </c>
      <c r="H151" s="18"/>
      <c r="I151" s="19"/>
      <c r="K151" s="2">
        <v>200</v>
      </c>
      <c r="L151" t="str">
        <f t="shared" si="6"/>
        <v/>
      </c>
      <c r="N151" s="2">
        <f t="shared" si="7"/>
        <v>38</v>
      </c>
      <c r="O151" s="2" t="str">
        <f t="shared" si="8"/>
        <v/>
      </c>
      <c r="P151" s="5">
        <f>IFERROR(input_table[[#This Row],[est. profit]]/input_table[[#This Row],[Purchased]],)</f>
        <v>0.23456790123456789</v>
      </c>
      <c r="Q151"/>
      <c r="V151" s="2"/>
    </row>
    <row r="152" spans="1:22" x14ac:dyDescent="0.25">
      <c r="A152" s="11" t="s">
        <v>125</v>
      </c>
      <c r="B152" s="11" t="s">
        <v>190</v>
      </c>
      <c r="C152" t="s">
        <v>226</v>
      </c>
      <c r="D152" t="s">
        <v>127</v>
      </c>
      <c r="E152" s="11" t="s">
        <v>255</v>
      </c>
      <c r="F152" s="3">
        <v>220.45</v>
      </c>
      <c r="G152" s="1">
        <v>44555</v>
      </c>
      <c r="H152" s="18"/>
      <c r="I152" s="19"/>
      <c r="K152" s="2">
        <v>300</v>
      </c>
      <c r="L152" t="str">
        <f t="shared" si="6"/>
        <v/>
      </c>
      <c r="N152" s="2">
        <f t="shared" si="7"/>
        <v>79.550000000000011</v>
      </c>
      <c r="O152" s="2" t="str">
        <f t="shared" si="8"/>
        <v/>
      </c>
      <c r="P152" s="5">
        <f>IFERROR(input_table[[#This Row],[est. profit]]/input_table[[#This Row],[Purchased]],)</f>
        <v>0.36085280108868228</v>
      </c>
      <c r="Q152"/>
      <c r="V152" s="2"/>
    </row>
    <row r="153" spans="1:22" x14ac:dyDescent="0.25">
      <c r="A153" s="11" t="s">
        <v>125</v>
      </c>
      <c r="B153" s="11" t="s">
        <v>190</v>
      </c>
      <c r="C153" t="s">
        <v>258</v>
      </c>
      <c r="D153" t="s">
        <v>107</v>
      </c>
      <c r="E153" s="11" t="s">
        <v>254</v>
      </c>
      <c r="F153" s="3">
        <v>172.45</v>
      </c>
      <c r="G153" s="1">
        <v>44561</v>
      </c>
      <c r="H153" s="18"/>
      <c r="I153" s="19"/>
      <c r="K153" s="2">
        <v>200</v>
      </c>
      <c r="L153" t="str">
        <f t="shared" si="6"/>
        <v/>
      </c>
      <c r="N153" s="2">
        <f t="shared" si="7"/>
        <v>27.550000000000011</v>
      </c>
      <c r="O153" s="2" t="str">
        <f t="shared" si="8"/>
        <v/>
      </c>
      <c r="P153" s="5">
        <f>IFERROR(input_table[[#This Row],[est. profit]]/input_table[[#This Row],[Purchased]],)</f>
        <v>0.15975645114525958</v>
      </c>
      <c r="Q153"/>
      <c r="V153" s="2"/>
    </row>
    <row r="154" spans="1:22" x14ac:dyDescent="0.25">
      <c r="A154" s="11" t="s">
        <v>125</v>
      </c>
      <c r="B154" s="11" t="s">
        <v>190</v>
      </c>
      <c r="C154" t="s">
        <v>226</v>
      </c>
      <c r="D154" t="s">
        <v>176</v>
      </c>
      <c r="E154" s="11" t="s">
        <v>259</v>
      </c>
      <c r="F154" s="3">
        <v>220</v>
      </c>
      <c r="G154" s="1">
        <v>44561</v>
      </c>
      <c r="H154" s="18"/>
      <c r="I154" s="19"/>
      <c r="K154" s="2">
        <v>300</v>
      </c>
      <c r="L154" t="str">
        <f t="shared" si="6"/>
        <v/>
      </c>
      <c r="N154" s="2">
        <f t="shared" si="7"/>
        <v>80</v>
      </c>
      <c r="O154" s="2" t="str">
        <f t="shared" si="8"/>
        <v/>
      </c>
      <c r="P154" s="5">
        <f>IFERROR(input_table[[#This Row],[est. profit]]/input_table[[#This Row],[Purchased]],)</f>
        <v>0.36363636363636365</v>
      </c>
      <c r="Q154"/>
      <c r="V154" s="2"/>
    </row>
    <row r="155" spans="1:22" x14ac:dyDescent="0.25">
      <c r="A155" s="11" t="s">
        <v>125</v>
      </c>
      <c r="B155" s="11" t="s">
        <v>190</v>
      </c>
      <c r="C155" t="s">
        <v>226</v>
      </c>
      <c r="D155" t="s">
        <v>176</v>
      </c>
      <c r="E155" s="11" t="s">
        <v>259</v>
      </c>
      <c r="F155" s="3">
        <v>220</v>
      </c>
      <c r="G155" s="1">
        <v>44561</v>
      </c>
      <c r="H155" s="18"/>
      <c r="I155" s="19"/>
      <c r="K155" s="2">
        <v>300</v>
      </c>
      <c r="L155" t="str">
        <f t="shared" si="6"/>
        <v/>
      </c>
      <c r="N155" s="2">
        <f t="shared" si="7"/>
        <v>80</v>
      </c>
      <c r="O155" s="2" t="str">
        <f t="shared" si="8"/>
        <v/>
      </c>
      <c r="P155" s="5">
        <f>IFERROR(input_table[[#This Row],[est. profit]]/input_table[[#This Row],[Purchased]],)</f>
        <v>0.36363636363636365</v>
      </c>
      <c r="Q155"/>
      <c r="V155" s="2"/>
    </row>
    <row r="156" spans="1:22" x14ac:dyDescent="0.25">
      <c r="Q156"/>
      <c r="V156" s="2"/>
    </row>
    <row r="157" spans="1:22" x14ac:dyDescent="0.25">
      <c r="Q157"/>
      <c r="V157" s="2"/>
    </row>
    <row r="158" spans="1:22" x14ac:dyDescent="0.25">
      <c r="Q158"/>
      <c r="V158" s="2"/>
    </row>
    <row r="159" spans="1:22" x14ac:dyDescent="0.25">
      <c r="Q159"/>
      <c r="V159" s="2"/>
    </row>
    <row r="160" spans="1:22" x14ac:dyDescent="0.25">
      <c r="Q160"/>
      <c r="V160" s="2"/>
    </row>
    <row r="161" spans="17:22" x14ac:dyDescent="0.25">
      <c r="Q161"/>
      <c r="V161" s="2"/>
    </row>
    <row r="162" spans="17:22" x14ac:dyDescent="0.25">
      <c r="Q162"/>
      <c r="V162" s="2"/>
    </row>
    <row r="163" spans="17:22" x14ac:dyDescent="0.25">
      <c r="Q163"/>
      <c r="V163" s="2"/>
    </row>
    <row r="164" spans="17:22" x14ac:dyDescent="0.25">
      <c r="Q164"/>
      <c r="V164" s="2"/>
    </row>
    <row r="165" spans="17:22" x14ac:dyDescent="0.25">
      <c r="Q165"/>
      <c r="V165" s="2"/>
    </row>
    <row r="166" spans="17:22" x14ac:dyDescent="0.25">
      <c r="Q166"/>
      <c r="V166" s="2"/>
    </row>
    <row r="167" spans="17:22" x14ac:dyDescent="0.25">
      <c r="Q167"/>
      <c r="V167" s="2"/>
    </row>
    <row r="168" spans="17:22" x14ac:dyDescent="0.25">
      <c r="Q168"/>
      <c r="V168" s="2"/>
    </row>
    <row r="169" spans="17:22" x14ac:dyDescent="0.25">
      <c r="Q169"/>
      <c r="V169" s="2"/>
    </row>
    <row r="170" spans="17:22" x14ac:dyDescent="0.25">
      <c r="Q170"/>
      <c r="V170" s="2"/>
    </row>
    <row r="171" spans="17:22" x14ac:dyDescent="0.25">
      <c r="Q171"/>
      <c r="V171" s="2"/>
    </row>
    <row r="172" spans="17:22" x14ac:dyDescent="0.25">
      <c r="Q172"/>
      <c r="V172" s="2"/>
    </row>
    <row r="173" spans="17:22" x14ac:dyDescent="0.25">
      <c r="Q173"/>
      <c r="V173" s="2"/>
    </row>
    <row r="174" spans="17:22" x14ac:dyDescent="0.25">
      <c r="Q174"/>
      <c r="V174" s="2"/>
    </row>
    <row r="175" spans="17:22" x14ac:dyDescent="0.25">
      <c r="Q175"/>
      <c r="V175" s="2"/>
    </row>
    <row r="176" spans="17:22" x14ac:dyDescent="0.25">
      <c r="Q176"/>
      <c r="V176" s="2"/>
    </row>
    <row r="177" spans="17:22" x14ac:dyDescent="0.25">
      <c r="Q177"/>
      <c r="V177" s="2"/>
    </row>
    <row r="178" spans="17:22" x14ac:dyDescent="0.25">
      <c r="Q178"/>
      <c r="V178" s="2"/>
    </row>
    <row r="179" spans="17:22" x14ac:dyDescent="0.25">
      <c r="Q179"/>
      <c r="V179" s="2"/>
    </row>
    <row r="180" spans="17:22" x14ac:dyDescent="0.25">
      <c r="Q180"/>
      <c r="V180" s="2"/>
    </row>
    <row r="181" spans="17:22" x14ac:dyDescent="0.25">
      <c r="Q181"/>
      <c r="V181" s="2"/>
    </row>
    <row r="182" spans="17:22" x14ac:dyDescent="0.25">
      <c r="Q182"/>
      <c r="V182" s="2"/>
    </row>
    <row r="183" spans="17:22" x14ac:dyDescent="0.25">
      <c r="Q183"/>
      <c r="V183" s="2"/>
    </row>
    <row r="184" spans="17:22" x14ac:dyDescent="0.25">
      <c r="Q184"/>
      <c r="V184" s="2"/>
    </row>
    <row r="185" spans="17:22" x14ac:dyDescent="0.25">
      <c r="Q185"/>
      <c r="V185" s="2"/>
    </row>
    <row r="186" spans="17:22" x14ac:dyDescent="0.25">
      <c r="Q186"/>
      <c r="V186" s="2"/>
    </row>
    <row r="187" spans="17:22" x14ac:dyDescent="0.25">
      <c r="Q187"/>
      <c r="V187" s="2"/>
    </row>
    <row r="188" spans="17:22" x14ac:dyDescent="0.25">
      <c r="Q188"/>
      <c r="V188" s="2"/>
    </row>
    <row r="189" spans="17:22" x14ac:dyDescent="0.25">
      <c r="Q189"/>
      <c r="V189" s="2"/>
    </row>
    <row r="190" spans="17:22" x14ac:dyDescent="0.25">
      <c r="Q190"/>
      <c r="V190" s="2"/>
    </row>
    <row r="191" spans="17:22" x14ac:dyDescent="0.25">
      <c r="Q191"/>
      <c r="V191" s="2"/>
    </row>
    <row r="192" spans="17:22" x14ac:dyDescent="0.25">
      <c r="Q192"/>
      <c r="V192" s="2"/>
    </row>
    <row r="193" spans="17:22" x14ac:dyDescent="0.25">
      <c r="Q193"/>
      <c r="V193" s="2"/>
    </row>
    <row r="194" spans="17:22" x14ac:dyDescent="0.25">
      <c r="Q194"/>
      <c r="V194" s="2"/>
    </row>
    <row r="195" spans="17:22" x14ac:dyDescent="0.25">
      <c r="Q195"/>
      <c r="V195" s="2"/>
    </row>
    <row r="196" spans="17:22" x14ac:dyDescent="0.25">
      <c r="Q196"/>
      <c r="V196" s="2"/>
    </row>
    <row r="197" spans="17:22" x14ac:dyDescent="0.25">
      <c r="Q197"/>
      <c r="V197" s="2"/>
    </row>
    <row r="198" spans="17:22" x14ac:dyDescent="0.25">
      <c r="Q198"/>
      <c r="V198" s="2"/>
    </row>
    <row r="199" spans="17:22" x14ac:dyDescent="0.25">
      <c r="Q199"/>
      <c r="V199" s="2"/>
    </row>
    <row r="200" spans="17:22" x14ac:dyDescent="0.25">
      <c r="Q200"/>
      <c r="V200" s="2"/>
    </row>
    <row r="201" spans="17:22" x14ac:dyDescent="0.25">
      <c r="Q201"/>
      <c r="V201" s="2"/>
    </row>
    <row r="202" spans="17:22" x14ac:dyDescent="0.25">
      <c r="Q202"/>
      <c r="V202" s="2"/>
    </row>
    <row r="203" spans="17:22" x14ac:dyDescent="0.25">
      <c r="Q203"/>
      <c r="V203" s="2"/>
    </row>
    <row r="204" spans="17:22" x14ac:dyDescent="0.25">
      <c r="Q204"/>
      <c r="V204" s="2"/>
    </row>
    <row r="205" spans="17:22" x14ac:dyDescent="0.25">
      <c r="Q205"/>
      <c r="V205" s="2"/>
    </row>
    <row r="206" spans="17:22" x14ac:dyDescent="0.25">
      <c r="Q206"/>
      <c r="V206" s="2"/>
    </row>
    <row r="207" spans="17:22" x14ac:dyDescent="0.25">
      <c r="Q207"/>
      <c r="V207" s="2"/>
    </row>
    <row r="208" spans="17:22" x14ac:dyDescent="0.25">
      <c r="Q208"/>
      <c r="V208" s="2"/>
    </row>
    <row r="209" spans="17:22" x14ac:dyDescent="0.25">
      <c r="Q209"/>
      <c r="V209" s="2"/>
    </row>
    <row r="210" spans="17:22" x14ac:dyDescent="0.25">
      <c r="Q210"/>
      <c r="V210" s="2"/>
    </row>
    <row r="211" spans="17:22" x14ac:dyDescent="0.25">
      <c r="Q211"/>
      <c r="V211" s="2"/>
    </row>
    <row r="212" spans="17:22" x14ac:dyDescent="0.25">
      <c r="Q212"/>
      <c r="V212" s="2"/>
    </row>
    <row r="213" spans="17:22" x14ac:dyDescent="0.25">
      <c r="Q213"/>
      <c r="V213" s="2"/>
    </row>
    <row r="214" spans="17:22" x14ac:dyDescent="0.25">
      <c r="Q214"/>
      <c r="V214" s="2"/>
    </row>
    <row r="215" spans="17:22" x14ac:dyDescent="0.25">
      <c r="Q215"/>
      <c r="V215" s="2"/>
    </row>
    <row r="216" spans="17:22" x14ac:dyDescent="0.25">
      <c r="Q216"/>
      <c r="V216" s="2"/>
    </row>
    <row r="217" spans="17:22" x14ac:dyDescent="0.25">
      <c r="Q217"/>
      <c r="V217" s="2"/>
    </row>
    <row r="218" spans="17:22" x14ac:dyDescent="0.25">
      <c r="Q218"/>
      <c r="V218" s="2"/>
    </row>
    <row r="219" spans="17:22" x14ac:dyDescent="0.25">
      <c r="Q219"/>
      <c r="V219" s="2"/>
    </row>
    <row r="220" spans="17:22" x14ac:dyDescent="0.25">
      <c r="Q220"/>
      <c r="V220" s="2"/>
    </row>
    <row r="221" spans="17:22" x14ac:dyDescent="0.25">
      <c r="Q221"/>
      <c r="V221" s="2"/>
    </row>
    <row r="222" spans="17:22" x14ac:dyDescent="0.25">
      <c r="Q222"/>
      <c r="V222" s="2"/>
    </row>
    <row r="223" spans="17:22" x14ac:dyDescent="0.25">
      <c r="Q223"/>
      <c r="V223" s="2"/>
    </row>
    <row r="224" spans="17:22" x14ac:dyDescent="0.25">
      <c r="Q224"/>
      <c r="V224" s="2"/>
    </row>
    <row r="225" spans="17:22" x14ac:dyDescent="0.25">
      <c r="Q225"/>
      <c r="V225" s="2"/>
    </row>
    <row r="226" spans="17:22" x14ac:dyDescent="0.25">
      <c r="Q226"/>
      <c r="V226" s="2"/>
    </row>
    <row r="227" spans="17:22" x14ac:dyDescent="0.25">
      <c r="Q227"/>
      <c r="V227" s="2"/>
    </row>
    <row r="228" spans="17:22" x14ac:dyDescent="0.25">
      <c r="Q228"/>
      <c r="V228" s="2"/>
    </row>
    <row r="229" spans="17:22" x14ac:dyDescent="0.25">
      <c r="Q229"/>
      <c r="V229" s="2"/>
    </row>
    <row r="230" spans="17:22" x14ac:dyDescent="0.25">
      <c r="Q230"/>
      <c r="V230" s="2"/>
    </row>
    <row r="231" spans="17:22" x14ac:dyDescent="0.25">
      <c r="Q231"/>
      <c r="V231" s="2"/>
    </row>
    <row r="232" spans="17:22" x14ac:dyDescent="0.25">
      <c r="Q232"/>
      <c r="V232" s="2"/>
    </row>
    <row r="233" spans="17:22" x14ac:dyDescent="0.25">
      <c r="Q233"/>
      <c r="V233" s="2"/>
    </row>
    <row r="234" spans="17:22" x14ac:dyDescent="0.25">
      <c r="Q234"/>
      <c r="V234" s="2"/>
    </row>
    <row r="235" spans="17:22" x14ac:dyDescent="0.25">
      <c r="Q235"/>
      <c r="V235" s="2"/>
    </row>
    <row r="236" spans="17:22" x14ac:dyDescent="0.25">
      <c r="Q236"/>
      <c r="V236" s="2"/>
    </row>
    <row r="237" spans="17:22" x14ac:dyDescent="0.25">
      <c r="Q237"/>
      <c r="V237" s="2"/>
    </row>
    <row r="238" spans="17:22" x14ac:dyDescent="0.25">
      <c r="Q238"/>
      <c r="V238" s="2"/>
    </row>
    <row r="239" spans="17:22" x14ac:dyDescent="0.25">
      <c r="Q239"/>
      <c r="V239" s="2"/>
    </row>
    <row r="240" spans="17:22" x14ac:dyDescent="0.25">
      <c r="Q240"/>
      <c r="V240" s="2"/>
    </row>
    <row r="241" spans="17:22" x14ac:dyDescent="0.25">
      <c r="Q241"/>
      <c r="V241" s="2"/>
    </row>
    <row r="242" spans="17:22" x14ac:dyDescent="0.25">
      <c r="Q242"/>
      <c r="V242" s="2"/>
    </row>
    <row r="243" spans="17:22" x14ac:dyDescent="0.25">
      <c r="Q243"/>
      <c r="V243" s="2"/>
    </row>
    <row r="244" spans="17:22" x14ac:dyDescent="0.25">
      <c r="Q244"/>
      <c r="V244" s="2"/>
    </row>
    <row r="245" spans="17:22" x14ac:dyDescent="0.25">
      <c r="Q245"/>
      <c r="V245" s="2"/>
    </row>
    <row r="246" spans="17:22" x14ac:dyDescent="0.25">
      <c r="Q246"/>
      <c r="V246" s="2"/>
    </row>
    <row r="247" spans="17:22" x14ac:dyDescent="0.25">
      <c r="Q247"/>
      <c r="V247" s="2"/>
    </row>
    <row r="248" spans="17:22" x14ac:dyDescent="0.25">
      <c r="Q248"/>
      <c r="V248" s="2"/>
    </row>
    <row r="249" spans="17:22" x14ac:dyDescent="0.25">
      <c r="Q249"/>
      <c r="V249" s="2"/>
    </row>
    <row r="250" spans="17:22" x14ac:dyDescent="0.25">
      <c r="Q250"/>
      <c r="V250" s="2"/>
    </row>
    <row r="251" spans="17:22" x14ac:dyDescent="0.25">
      <c r="Q251"/>
      <c r="V251" s="2"/>
    </row>
    <row r="252" spans="17:22" x14ac:dyDescent="0.25">
      <c r="Q252"/>
      <c r="V252" s="2"/>
    </row>
    <row r="253" spans="17:22" x14ac:dyDescent="0.25">
      <c r="Q253"/>
      <c r="V253" s="2"/>
    </row>
    <row r="254" spans="17:22" x14ac:dyDescent="0.25">
      <c r="Q254"/>
      <c r="V254" s="2"/>
    </row>
    <row r="255" spans="17:22" x14ac:dyDescent="0.25">
      <c r="Q255"/>
      <c r="V255" s="2"/>
    </row>
    <row r="256" spans="17:22" x14ac:dyDescent="0.25">
      <c r="Q256"/>
      <c r="V256" s="2"/>
    </row>
    <row r="257" spans="17:22" x14ac:dyDescent="0.25">
      <c r="Q257"/>
      <c r="V257" s="2"/>
    </row>
    <row r="258" spans="17:22" x14ac:dyDescent="0.25">
      <c r="Q258"/>
      <c r="V258" s="2"/>
    </row>
    <row r="259" spans="17:22" x14ac:dyDescent="0.25">
      <c r="Q259"/>
      <c r="V259" s="2"/>
    </row>
    <row r="260" spans="17:22" x14ac:dyDescent="0.25">
      <c r="Q260"/>
      <c r="V260" s="2"/>
    </row>
    <row r="261" spans="17:22" x14ac:dyDescent="0.25">
      <c r="Q261"/>
      <c r="V261" s="2"/>
    </row>
    <row r="262" spans="17:22" x14ac:dyDescent="0.25">
      <c r="Q262"/>
      <c r="V262" s="2"/>
    </row>
    <row r="263" spans="17:22" x14ac:dyDescent="0.25">
      <c r="Q263"/>
      <c r="V263" s="2"/>
    </row>
    <row r="264" spans="17:22" x14ac:dyDescent="0.25">
      <c r="Q264"/>
      <c r="V264" s="2"/>
    </row>
    <row r="265" spans="17:22" x14ac:dyDescent="0.25">
      <c r="Q265"/>
      <c r="V265" s="2"/>
    </row>
    <row r="266" spans="17:22" x14ac:dyDescent="0.25">
      <c r="Q266"/>
      <c r="V266" s="2"/>
    </row>
    <row r="267" spans="17:22" x14ac:dyDescent="0.25">
      <c r="Q267"/>
      <c r="V267" s="2"/>
    </row>
    <row r="268" spans="17:22" x14ac:dyDescent="0.25">
      <c r="Q268"/>
      <c r="V268" s="2"/>
    </row>
    <row r="269" spans="17:22" x14ac:dyDescent="0.25">
      <c r="Q269"/>
      <c r="V269" s="2"/>
    </row>
    <row r="270" spans="17:22" x14ac:dyDescent="0.25">
      <c r="Q270"/>
      <c r="V270" s="2"/>
    </row>
    <row r="271" spans="17:22" x14ac:dyDescent="0.25">
      <c r="Q271"/>
      <c r="V271" s="2"/>
    </row>
    <row r="272" spans="17:22" x14ac:dyDescent="0.25">
      <c r="Q272"/>
      <c r="V272" s="2"/>
    </row>
    <row r="273" spans="17:22" x14ac:dyDescent="0.25">
      <c r="Q273"/>
      <c r="V273" s="2"/>
    </row>
    <row r="274" spans="17:22" x14ac:dyDescent="0.25">
      <c r="Q274"/>
      <c r="V274" s="2"/>
    </row>
    <row r="275" spans="17:22" x14ac:dyDescent="0.25">
      <c r="Q275"/>
      <c r="V275" s="2"/>
    </row>
    <row r="276" spans="17:22" x14ac:dyDescent="0.25">
      <c r="Q276"/>
      <c r="V276" s="2"/>
    </row>
    <row r="277" spans="17:22" x14ac:dyDescent="0.25">
      <c r="Q277"/>
      <c r="V277" s="2"/>
    </row>
    <row r="278" spans="17:22" x14ac:dyDescent="0.25">
      <c r="Q278"/>
      <c r="V278" s="2"/>
    </row>
    <row r="279" spans="17:22" x14ac:dyDescent="0.25">
      <c r="Q279"/>
      <c r="V279" s="2"/>
    </row>
    <row r="280" spans="17:22" x14ac:dyDescent="0.25">
      <c r="Q280"/>
      <c r="V280" s="2"/>
    </row>
    <row r="281" spans="17:22" x14ac:dyDescent="0.25">
      <c r="Q281"/>
      <c r="V281" s="2"/>
    </row>
    <row r="282" spans="17:22" x14ac:dyDescent="0.25">
      <c r="Q282"/>
      <c r="V282" s="2"/>
    </row>
    <row r="283" spans="17:22" x14ac:dyDescent="0.25">
      <c r="Q283"/>
      <c r="V283" s="2"/>
    </row>
    <row r="284" spans="17:22" x14ac:dyDescent="0.25">
      <c r="Q284"/>
      <c r="V284" s="2"/>
    </row>
    <row r="285" spans="17:22" x14ac:dyDescent="0.25">
      <c r="Q285"/>
      <c r="V285" s="2"/>
    </row>
    <row r="286" spans="17:22" x14ac:dyDescent="0.25">
      <c r="Q286"/>
      <c r="V286" s="2"/>
    </row>
    <row r="287" spans="17:22" x14ac:dyDescent="0.25">
      <c r="Q287"/>
      <c r="V287" s="2"/>
    </row>
    <row r="288" spans="17:22" x14ac:dyDescent="0.25">
      <c r="Q288"/>
      <c r="V288" s="2"/>
    </row>
    <row r="289" spans="17:22" x14ac:dyDescent="0.25">
      <c r="Q289"/>
      <c r="V289" s="2"/>
    </row>
    <row r="290" spans="17:22" x14ac:dyDescent="0.25">
      <c r="Q290"/>
      <c r="V290" s="2"/>
    </row>
    <row r="291" spans="17:22" x14ac:dyDescent="0.25">
      <c r="Q291"/>
      <c r="V291" s="2"/>
    </row>
    <row r="292" spans="17:22" x14ac:dyDescent="0.25">
      <c r="Q292"/>
      <c r="V292" s="2"/>
    </row>
    <row r="293" spans="17:22" x14ac:dyDescent="0.25">
      <c r="Q293"/>
      <c r="V293" s="2"/>
    </row>
    <row r="294" spans="17:22" x14ac:dyDescent="0.25">
      <c r="Q294"/>
      <c r="V294" s="2"/>
    </row>
    <row r="295" spans="17:22" x14ac:dyDescent="0.25">
      <c r="Q295"/>
      <c r="V295" s="2"/>
    </row>
    <row r="296" spans="17:22" x14ac:dyDescent="0.25">
      <c r="Q296"/>
      <c r="V296" s="2"/>
    </row>
    <row r="297" spans="17:22" x14ac:dyDescent="0.25">
      <c r="Q297"/>
      <c r="V297" s="2"/>
    </row>
    <row r="298" spans="17:22" x14ac:dyDescent="0.25">
      <c r="Q298"/>
      <c r="V298" s="2"/>
    </row>
    <row r="299" spans="17:22" x14ac:dyDescent="0.25">
      <c r="Q299"/>
      <c r="V299" s="2"/>
    </row>
    <row r="300" spans="17:22" x14ac:dyDescent="0.25">
      <c r="Q300"/>
      <c r="V300" s="2"/>
    </row>
    <row r="301" spans="17:22" x14ac:dyDescent="0.25">
      <c r="Q301"/>
      <c r="V301" s="2"/>
    </row>
    <row r="302" spans="17:22" x14ac:dyDescent="0.25">
      <c r="Q302"/>
      <c r="V302" s="2"/>
    </row>
    <row r="303" spans="17:22" x14ac:dyDescent="0.25">
      <c r="Q303"/>
      <c r="V303" s="2"/>
    </row>
    <row r="304" spans="17:22" x14ac:dyDescent="0.25">
      <c r="Q304"/>
      <c r="V304" s="2"/>
    </row>
    <row r="305" spans="17:22" x14ac:dyDescent="0.25">
      <c r="Q305"/>
      <c r="V305" s="2"/>
    </row>
    <row r="306" spans="17:22" x14ac:dyDescent="0.25">
      <c r="Q306"/>
      <c r="V306" s="2"/>
    </row>
    <row r="307" spans="17:22" x14ac:dyDescent="0.25">
      <c r="Q307"/>
      <c r="V307" s="2"/>
    </row>
    <row r="308" spans="17:22" x14ac:dyDescent="0.25">
      <c r="Q308"/>
      <c r="V308" s="2"/>
    </row>
    <row r="309" spans="17:22" x14ac:dyDescent="0.25">
      <c r="Q309"/>
      <c r="V309" s="2"/>
    </row>
    <row r="310" spans="17:22" x14ac:dyDescent="0.25">
      <c r="Q310"/>
      <c r="V310" s="2"/>
    </row>
    <row r="311" spans="17:22" x14ac:dyDescent="0.25">
      <c r="Q311"/>
      <c r="V311" s="2"/>
    </row>
    <row r="312" spans="17:22" x14ac:dyDescent="0.25">
      <c r="Q312"/>
      <c r="V312" s="2"/>
    </row>
    <row r="313" spans="17:22" x14ac:dyDescent="0.25">
      <c r="Q313"/>
      <c r="V313" s="2"/>
    </row>
    <row r="314" spans="17:22" x14ac:dyDescent="0.25">
      <c r="Q314"/>
      <c r="V314" s="2"/>
    </row>
    <row r="315" spans="17:22" x14ac:dyDescent="0.25">
      <c r="Q315"/>
      <c r="V315" s="2"/>
    </row>
    <row r="316" spans="17:22" x14ac:dyDescent="0.25">
      <c r="Q316"/>
      <c r="V316" s="2"/>
    </row>
    <row r="317" spans="17:22" x14ac:dyDescent="0.25">
      <c r="Q317"/>
      <c r="V317" s="2"/>
    </row>
    <row r="318" spans="17:22" x14ac:dyDescent="0.25">
      <c r="Q318"/>
      <c r="V318" s="2"/>
    </row>
    <row r="319" spans="17:22" x14ac:dyDescent="0.25">
      <c r="Q319"/>
      <c r="V319" s="2"/>
    </row>
    <row r="320" spans="17:22" x14ac:dyDescent="0.25">
      <c r="Q320"/>
      <c r="V320" s="2"/>
    </row>
    <row r="321" spans="17:22" x14ac:dyDescent="0.25">
      <c r="Q321"/>
      <c r="V321" s="2"/>
    </row>
    <row r="322" spans="17:22" x14ac:dyDescent="0.25">
      <c r="Q322"/>
      <c r="V322" s="2"/>
    </row>
    <row r="323" spans="17:22" x14ac:dyDescent="0.25">
      <c r="Q323"/>
      <c r="V323" s="2"/>
    </row>
    <row r="324" spans="17:22" x14ac:dyDescent="0.25">
      <c r="Q324"/>
      <c r="V324" s="2"/>
    </row>
    <row r="325" spans="17:22" x14ac:dyDescent="0.25">
      <c r="Q325"/>
      <c r="V325" s="2"/>
    </row>
    <row r="326" spans="17:22" x14ac:dyDescent="0.25">
      <c r="Q326"/>
      <c r="V326" s="2"/>
    </row>
    <row r="327" spans="17:22" x14ac:dyDescent="0.25">
      <c r="Q327"/>
      <c r="V327" s="2"/>
    </row>
    <row r="328" spans="17:22" x14ac:dyDescent="0.25">
      <c r="Q328"/>
      <c r="V328" s="2"/>
    </row>
    <row r="329" spans="17:22" x14ac:dyDescent="0.25">
      <c r="Q329"/>
      <c r="V329" s="2"/>
    </row>
    <row r="330" spans="17:22" x14ac:dyDescent="0.25">
      <c r="Q330"/>
      <c r="V330" s="2"/>
    </row>
    <row r="331" spans="17:22" x14ac:dyDescent="0.25">
      <c r="Q331"/>
      <c r="V331" s="2"/>
    </row>
    <row r="332" spans="17:22" x14ac:dyDescent="0.25">
      <c r="Q332"/>
      <c r="V332" s="2"/>
    </row>
    <row r="333" spans="17:22" x14ac:dyDescent="0.25">
      <c r="Q333"/>
      <c r="V333" s="2"/>
    </row>
    <row r="334" spans="17:22" x14ac:dyDescent="0.25">
      <c r="Q334"/>
      <c r="V334" s="2"/>
    </row>
    <row r="335" spans="17:22" x14ac:dyDescent="0.25">
      <c r="Q335"/>
      <c r="V335" s="2"/>
    </row>
    <row r="336" spans="17:22" x14ac:dyDescent="0.25">
      <c r="Q336"/>
      <c r="V336" s="2"/>
    </row>
    <row r="337" spans="17:22" x14ac:dyDescent="0.25">
      <c r="Q337"/>
      <c r="V337" s="2"/>
    </row>
    <row r="338" spans="17:22" x14ac:dyDescent="0.25">
      <c r="Q338"/>
      <c r="V338" s="2"/>
    </row>
    <row r="339" spans="17:22" x14ac:dyDescent="0.25">
      <c r="Q339"/>
      <c r="V339" s="2"/>
    </row>
    <row r="340" spans="17:22" x14ac:dyDescent="0.25">
      <c r="Q340"/>
      <c r="V340" s="2"/>
    </row>
    <row r="341" spans="17:22" x14ac:dyDescent="0.25">
      <c r="Q341"/>
      <c r="V341" s="2"/>
    </row>
    <row r="342" spans="17:22" x14ac:dyDescent="0.25">
      <c r="Q342"/>
      <c r="V342" s="2"/>
    </row>
    <row r="343" spans="17:22" x14ac:dyDescent="0.25">
      <c r="Q343"/>
      <c r="V343" s="2"/>
    </row>
    <row r="344" spans="17:22" x14ac:dyDescent="0.25">
      <c r="Q344"/>
      <c r="V344" s="2"/>
    </row>
    <row r="345" spans="17:22" x14ac:dyDescent="0.25">
      <c r="Q345"/>
      <c r="V345" s="2"/>
    </row>
    <row r="346" spans="17:22" x14ac:dyDescent="0.25">
      <c r="Q346"/>
      <c r="V346" s="2"/>
    </row>
    <row r="347" spans="17:22" x14ac:dyDescent="0.25">
      <c r="Q347"/>
      <c r="V347" s="2"/>
    </row>
    <row r="348" spans="17:22" x14ac:dyDescent="0.25">
      <c r="Q348"/>
      <c r="V348" s="2"/>
    </row>
    <row r="349" spans="17:22" x14ac:dyDescent="0.25">
      <c r="Q349"/>
      <c r="V349" s="2"/>
    </row>
    <row r="350" spans="17:22" x14ac:dyDescent="0.25">
      <c r="Q350"/>
      <c r="V350" s="2"/>
    </row>
    <row r="351" spans="17:22" x14ac:dyDescent="0.25">
      <c r="Q351"/>
      <c r="V351" s="2"/>
    </row>
    <row r="352" spans="17:22" x14ac:dyDescent="0.25">
      <c r="Q352"/>
      <c r="V352" s="2"/>
    </row>
    <row r="353" spans="17:22" x14ac:dyDescent="0.25">
      <c r="Q353"/>
      <c r="V353" s="2"/>
    </row>
    <row r="354" spans="17:22" x14ac:dyDescent="0.25">
      <c r="Q354"/>
      <c r="V354" s="2"/>
    </row>
    <row r="355" spans="17:22" x14ac:dyDescent="0.25">
      <c r="Q355"/>
      <c r="V355" s="2"/>
    </row>
    <row r="356" spans="17:22" x14ac:dyDescent="0.25">
      <c r="Q356"/>
      <c r="V356" s="2"/>
    </row>
    <row r="357" spans="17:22" x14ac:dyDescent="0.25">
      <c r="Q357"/>
      <c r="V357" s="2"/>
    </row>
    <row r="358" spans="17:22" x14ac:dyDescent="0.25">
      <c r="Q358"/>
      <c r="V358" s="2"/>
    </row>
    <row r="359" spans="17:22" x14ac:dyDescent="0.25">
      <c r="Q359"/>
      <c r="V359" s="2"/>
    </row>
    <row r="360" spans="17:22" x14ac:dyDescent="0.25">
      <c r="Q360"/>
      <c r="V360" s="2"/>
    </row>
    <row r="361" spans="17:22" x14ac:dyDescent="0.25">
      <c r="Q361"/>
      <c r="V361" s="2"/>
    </row>
    <row r="362" spans="17:22" x14ac:dyDescent="0.25">
      <c r="Q362"/>
      <c r="V362" s="2"/>
    </row>
    <row r="363" spans="17:22" x14ac:dyDescent="0.25">
      <c r="Q363"/>
      <c r="V363" s="2"/>
    </row>
    <row r="364" spans="17:22" x14ac:dyDescent="0.25">
      <c r="Q364"/>
      <c r="V364" s="2"/>
    </row>
    <row r="365" spans="17:22" x14ac:dyDescent="0.25">
      <c r="Q365"/>
      <c r="V365" s="2"/>
    </row>
    <row r="366" spans="17:22" x14ac:dyDescent="0.25">
      <c r="Q366"/>
      <c r="V366" s="2"/>
    </row>
    <row r="367" spans="17:22" x14ac:dyDescent="0.25">
      <c r="Q367"/>
      <c r="V367" s="2"/>
    </row>
    <row r="368" spans="17:22" x14ac:dyDescent="0.25">
      <c r="Q368"/>
      <c r="V368" s="2"/>
    </row>
    <row r="369" spans="17:22" x14ac:dyDescent="0.25">
      <c r="Q369"/>
      <c r="V369" s="2"/>
    </row>
    <row r="370" spans="17:22" x14ac:dyDescent="0.25">
      <c r="Q370"/>
      <c r="V370" s="2"/>
    </row>
    <row r="371" spans="17:22" x14ac:dyDescent="0.25">
      <c r="Q371"/>
      <c r="V371" s="2"/>
    </row>
    <row r="372" spans="17:22" x14ac:dyDescent="0.25">
      <c r="Q372"/>
      <c r="V372" s="2"/>
    </row>
    <row r="373" spans="17:22" x14ac:dyDescent="0.25">
      <c r="Q373"/>
      <c r="V373" s="2"/>
    </row>
    <row r="374" spans="17:22" x14ac:dyDescent="0.25">
      <c r="Q374"/>
      <c r="V374" s="2"/>
    </row>
    <row r="375" spans="17:22" x14ac:dyDescent="0.25">
      <c r="Q375"/>
      <c r="V375" s="2"/>
    </row>
    <row r="376" spans="17:22" x14ac:dyDescent="0.25">
      <c r="Q376"/>
      <c r="V376" s="2"/>
    </row>
    <row r="377" spans="17:22" x14ac:dyDescent="0.25">
      <c r="Q377"/>
      <c r="V377" s="2"/>
    </row>
    <row r="378" spans="17:22" x14ac:dyDescent="0.25">
      <c r="Q378"/>
      <c r="V378" s="2"/>
    </row>
    <row r="379" spans="17:22" x14ac:dyDescent="0.25">
      <c r="Q379"/>
      <c r="V379" s="2"/>
    </row>
    <row r="380" spans="17:22" x14ac:dyDescent="0.25">
      <c r="Q380"/>
      <c r="V380" s="2"/>
    </row>
    <row r="381" spans="17:22" x14ac:dyDescent="0.25">
      <c r="Q381"/>
      <c r="V381" s="2"/>
    </row>
    <row r="382" spans="17:22" x14ac:dyDescent="0.25">
      <c r="Q382"/>
      <c r="V382" s="2"/>
    </row>
    <row r="383" spans="17:22" x14ac:dyDescent="0.25">
      <c r="Q383"/>
      <c r="V383" s="2"/>
    </row>
    <row r="384" spans="17:22" x14ac:dyDescent="0.25">
      <c r="Q384"/>
      <c r="V384" s="2"/>
    </row>
    <row r="385" spans="17:22" x14ac:dyDescent="0.25">
      <c r="Q385"/>
      <c r="V385" s="2"/>
    </row>
    <row r="386" spans="17:22" x14ac:dyDescent="0.25">
      <c r="Q386"/>
      <c r="V386" s="2"/>
    </row>
    <row r="387" spans="17:22" x14ac:dyDescent="0.25">
      <c r="Q387"/>
      <c r="V387" s="2"/>
    </row>
    <row r="388" spans="17:22" x14ac:dyDescent="0.25">
      <c r="Q388"/>
      <c r="V388" s="2"/>
    </row>
    <row r="389" spans="17:22" x14ac:dyDescent="0.25">
      <c r="Q389"/>
      <c r="V389" s="2"/>
    </row>
    <row r="390" spans="17:22" x14ac:dyDescent="0.25">
      <c r="Q390"/>
      <c r="V390" s="2"/>
    </row>
    <row r="391" spans="17:22" x14ac:dyDescent="0.25">
      <c r="Q391"/>
      <c r="V391" s="2"/>
    </row>
    <row r="392" spans="17:22" x14ac:dyDescent="0.25">
      <c r="Q392"/>
      <c r="V392" s="2"/>
    </row>
    <row r="393" spans="17:22" x14ac:dyDescent="0.25">
      <c r="Q393"/>
      <c r="V393" s="2"/>
    </row>
    <row r="394" spans="17:22" x14ac:dyDescent="0.25">
      <c r="Q394"/>
      <c r="V394" s="2"/>
    </row>
    <row r="395" spans="17:22" x14ac:dyDescent="0.25">
      <c r="Q395"/>
      <c r="V395" s="2"/>
    </row>
    <row r="396" spans="17:22" x14ac:dyDescent="0.25">
      <c r="Q396"/>
      <c r="V396" s="2"/>
    </row>
    <row r="397" spans="17:22" x14ac:dyDescent="0.25">
      <c r="Q397"/>
      <c r="V397" s="2"/>
    </row>
    <row r="398" spans="17:22" x14ac:dyDescent="0.25">
      <c r="Q398"/>
      <c r="V398" s="2"/>
    </row>
    <row r="399" spans="17:22" x14ac:dyDescent="0.25">
      <c r="Q399"/>
      <c r="V399" s="2"/>
    </row>
    <row r="400" spans="17:22" x14ac:dyDescent="0.25">
      <c r="Q400"/>
      <c r="V400" s="2"/>
    </row>
    <row r="401" spans="17:22" x14ac:dyDescent="0.25">
      <c r="Q401"/>
      <c r="V401" s="2"/>
    </row>
    <row r="402" spans="17:22" x14ac:dyDescent="0.25">
      <c r="Q402"/>
      <c r="V402" s="2"/>
    </row>
    <row r="403" spans="17:22" x14ac:dyDescent="0.25">
      <c r="Q403"/>
      <c r="V403" s="2"/>
    </row>
    <row r="404" spans="17:22" x14ac:dyDescent="0.25">
      <c r="Q404"/>
      <c r="V404" s="2"/>
    </row>
    <row r="405" spans="17:22" x14ac:dyDescent="0.25">
      <c r="Q405"/>
      <c r="V405" s="2"/>
    </row>
    <row r="406" spans="17:22" x14ac:dyDescent="0.25">
      <c r="Q406"/>
      <c r="V406" s="2"/>
    </row>
    <row r="407" spans="17:22" x14ac:dyDescent="0.25">
      <c r="Q407"/>
      <c r="V407" s="2"/>
    </row>
    <row r="408" spans="17:22" x14ac:dyDescent="0.25">
      <c r="Q408"/>
      <c r="V408" s="2"/>
    </row>
    <row r="409" spans="17:22" x14ac:dyDescent="0.25">
      <c r="Q409"/>
      <c r="V409" s="2"/>
    </row>
    <row r="410" spans="17:22" x14ac:dyDescent="0.25">
      <c r="Q410"/>
      <c r="V410" s="2"/>
    </row>
    <row r="411" spans="17:22" x14ac:dyDescent="0.25">
      <c r="Q411"/>
      <c r="V411" s="2"/>
    </row>
    <row r="412" spans="17:22" x14ac:dyDescent="0.25">
      <c r="Q412"/>
      <c r="V412" s="2"/>
    </row>
    <row r="413" spans="17:22" x14ac:dyDescent="0.25">
      <c r="Q413"/>
      <c r="V413" s="2"/>
    </row>
    <row r="414" spans="17:22" x14ac:dyDescent="0.25">
      <c r="Q414"/>
      <c r="V414" s="2"/>
    </row>
    <row r="415" spans="17:22" x14ac:dyDescent="0.25">
      <c r="Q415"/>
      <c r="V415" s="2"/>
    </row>
    <row r="416" spans="17:22" x14ac:dyDescent="0.25">
      <c r="Q416"/>
      <c r="V416" s="2"/>
    </row>
    <row r="417" spans="17:22" x14ac:dyDescent="0.25">
      <c r="Q417"/>
      <c r="V417" s="2"/>
    </row>
    <row r="418" spans="17:22" x14ac:dyDescent="0.25">
      <c r="Q418"/>
      <c r="V418" s="2"/>
    </row>
    <row r="419" spans="17:22" x14ac:dyDescent="0.25">
      <c r="Q419"/>
      <c r="V419" s="2"/>
    </row>
    <row r="420" spans="17:22" x14ac:dyDescent="0.25">
      <c r="Q420"/>
      <c r="V420" s="2"/>
    </row>
    <row r="421" spans="17:22" x14ac:dyDescent="0.25">
      <c r="Q421"/>
      <c r="V421" s="2"/>
    </row>
    <row r="422" spans="17:22" x14ac:dyDescent="0.25">
      <c r="Q422"/>
      <c r="V422" s="2"/>
    </row>
    <row r="423" spans="17:22" x14ac:dyDescent="0.25">
      <c r="Q423"/>
      <c r="V423" s="2"/>
    </row>
    <row r="424" spans="17:22" x14ac:dyDescent="0.25">
      <c r="Q424"/>
      <c r="V424" s="2"/>
    </row>
    <row r="425" spans="17:22" x14ac:dyDescent="0.25">
      <c r="Q425"/>
      <c r="V425" s="2"/>
    </row>
    <row r="426" spans="17:22" x14ac:dyDescent="0.25">
      <c r="Q426"/>
      <c r="V426" s="2"/>
    </row>
    <row r="427" spans="17:22" x14ac:dyDescent="0.25">
      <c r="Q427"/>
      <c r="V427" s="2"/>
    </row>
    <row r="428" spans="17:22" x14ac:dyDescent="0.25">
      <c r="Q428"/>
      <c r="V428" s="2"/>
    </row>
    <row r="429" spans="17:22" x14ac:dyDescent="0.25">
      <c r="Q429"/>
      <c r="V429" s="2"/>
    </row>
    <row r="430" spans="17:22" x14ac:dyDescent="0.25">
      <c r="Q430"/>
      <c r="V430" s="2"/>
    </row>
    <row r="431" spans="17:22" x14ac:dyDescent="0.25">
      <c r="Q431"/>
      <c r="V431" s="2"/>
    </row>
    <row r="432" spans="17:22" x14ac:dyDescent="0.25">
      <c r="Q432"/>
      <c r="V432" s="2"/>
    </row>
    <row r="433" spans="17:22" x14ac:dyDescent="0.25">
      <c r="Q433"/>
      <c r="V433" s="2"/>
    </row>
    <row r="434" spans="17:22" x14ac:dyDescent="0.25">
      <c r="Q434"/>
      <c r="V434" s="2"/>
    </row>
    <row r="435" spans="17:22" x14ac:dyDescent="0.25">
      <c r="Q435"/>
      <c r="V435" s="2"/>
    </row>
    <row r="436" spans="17:22" x14ac:dyDescent="0.25">
      <c r="Q436"/>
      <c r="V436" s="2"/>
    </row>
    <row r="437" spans="17:22" x14ac:dyDescent="0.25">
      <c r="Q437"/>
      <c r="V437" s="2"/>
    </row>
    <row r="438" spans="17:22" x14ac:dyDescent="0.25">
      <c r="Q438"/>
      <c r="V438" s="2"/>
    </row>
    <row r="439" spans="17:22" x14ac:dyDescent="0.25">
      <c r="Q439"/>
      <c r="V439" s="2"/>
    </row>
    <row r="440" spans="17:22" x14ac:dyDescent="0.25">
      <c r="Q440"/>
      <c r="V440" s="2"/>
    </row>
    <row r="441" spans="17:22" x14ac:dyDescent="0.25">
      <c r="Q441"/>
      <c r="V441" s="2"/>
    </row>
    <row r="442" spans="17:22" x14ac:dyDescent="0.25">
      <c r="Q442"/>
      <c r="V442" s="2"/>
    </row>
    <row r="443" spans="17:22" x14ac:dyDescent="0.25">
      <c r="Q443"/>
      <c r="V443" s="2"/>
    </row>
    <row r="444" spans="17:22" x14ac:dyDescent="0.25">
      <c r="Q444"/>
      <c r="V444" s="2"/>
    </row>
    <row r="445" spans="17:22" x14ac:dyDescent="0.25">
      <c r="Q445"/>
      <c r="V445" s="2"/>
    </row>
    <row r="446" spans="17:22" x14ac:dyDescent="0.25">
      <c r="Q446"/>
      <c r="V446" s="2"/>
    </row>
    <row r="447" spans="17:22" x14ac:dyDescent="0.25">
      <c r="Q447"/>
      <c r="V447" s="2"/>
    </row>
    <row r="448" spans="17:22" x14ac:dyDescent="0.25">
      <c r="Q448"/>
      <c r="V448" s="2"/>
    </row>
    <row r="449" spans="17:22" x14ac:dyDescent="0.25">
      <c r="Q449"/>
      <c r="V449" s="2"/>
    </row>
    <row r="450" spans="17:22" x14ac:dyDescent="0.25">
      <c r="Q450"/>
      <c r="V450" s="2"/>
    </row>
    <row r="451" spans="17:22" x14ac:dyDescent="0.25">
      <c r="Q451"/>
      <c r="V451" s="2"/>
    </row>
    <row r="452" spans="17:22" x14ac:dyDescent="0.25">
      <c r="Q452"/>
      <c r="V452" s="2"/>
    </row>
    <row r="453" spans="17:22" x14ac:dyDescent="0.25">
      <c r="Q453"/>
      <c r="V453" s="2"/>
    </row>
    <row r="454" spans="17:22" x14ac:dyDescent="0.25">
      <c r="Q454"/>
      <c r="V454" s="2"/>
    </row>
    <row r="455" spans="17:22" x14ac:dyDescent="0.25">
      <c r="Q455"/>
      <c r="V455" s="2"/>
    </row>
    <row r="456" spans="17:22" x14ac:dyDescent="0.25">
      <c r="Q456"/>
      <c r="V456" s="2"/>
    </row>
    <row r="457" spans="17:22" x14ac:dyDescent="0.25">
      <c r="Q457"/>
      <c r="V457" s="2"/>
    </row>
    <row r="458" spans="17:22" x14ac:dyDescent="0.25">
      <c r="Q458"/>
      <c r="V458" s="2"/>
    </row>
    <row r="459" spans="17:22" x14ac:dyDescent="0.25">
      <c r="Q459"/>
      <c r="V459" s="2"/>
    </row>
    <row r="460" spans="17:22" x14ac:dyDescent="0.25">
      <c r="Q460"/>
      <c r="V460" s="2"/>
    </row>
    <row r="461" spans="17:22" x14ac:dyDescent="0.25">
      <c r="Q461"/>
      <c r="V461" s="2"/>
    </row>
    <row r="462" spans="17:22" x14ac:dyDescent="0.25">
      <c r="Q462"/>
      <c r="V462" s="2"/>
    </row>
    <row r="463" spans="17:22" x14ac:dyDescent="0.25">
      <c r="Q463"/>
      <c r="V463" s="2"/>
    </row>
    <row r="464" spans="17:22" x14ac:dyDescent="0.25">
      <c r="Q464"/>
      <c r="V464" s="2"/>
    </row>
    <row r="465" spans="17:22" x14ac:dyDescent="0.25">
      <c r="Q465"/>
      <c r="V465" s="2"/>
    </row>
    <row r="466" spans="17:22" x14ac:dyDescent="0.25">
      <c r="Q466"/>
      <c r="V466" s="2"/>
    </row>
    <row r="467" spans="17:22" x14ac:dyDescent="0.25">
      <c r="Q467"/>
      <c r="V467" s="2"/>
    </row>
    <row r="468" spans="17:22" x14ac:dyDescent="0.25">
      <c r="Q468"/>
      <c r="V468" s="2"/>
    </row>
    <row r="469" spans="17:22" x14ac:dyDescent="0.25">
      <c r="Q469"/>
      <c r="V469" s="2"/>
    </row>
    <row r="470" spans="17:22" x14ac:dyDescent="0.25">
      <c r="Q470"/>
      <c r="V470" s="2"/>
    </row>
    <row r="471" spans="17:22" x14ac:dyDescent="0.25">
      <c r="Q471"/>
      <c r="V471" s="2"/>
    </row>
    <row r="472" spans="17:22" x14ac:dyDescent="0.25">
      <c r="Q472"/>
      <c r="V472" s="2"/>
    </row>
    <row r="473" spans="17:22" x14ac:dyDescent="0.25">
      <c r="Q473"/>
      <c r="V473" s="2"/>
    </row>
    <row r="474" spans="17:22" x14ac:dyDescent="0.25">
      <c r="Q474"/>
      <c r="V474" s="2"/>
    </row>
    <row r="475" spans="17:22" x14ac:dyDescent="0.25">
      <c r="Q475"/>
      <c r="V475" s="2"/>
    </row>
    <row r="476" spans="17:22" x14ac:dyDescent="0.25">
      <c r="Q476"/>
      <c r="V476" s="2"/>
    </row>
    <row r="477" spans="17:22" x14ac:dyDescent="0.25">
      <c r="Q477"/>
      <c r="V477" s="2"/>
    </row>
    <row r="478" spans="17:22" x14ac:dyDescent="0.25">
      <c r="Q478"/>
      <c r="V478" s="2"/>
    </row>
    <row r="479" spans="17:22" x14ac:dyDescent="0.25">
      <c r="Q479"/>
      <c r="V479" s="2"/>
    </row>
    <row r="480" spans="17:22" x14ac:dyDescent="0.25">
      <c r="Q480"/>
      <c r="V480" s="2"/>
    </row>
    <row r="481" spans="17:22" x14ac:dyDescent="0.25">
      <c r="Q481"/>
      <c r="V481" s="2"/>
    </row>
    <row r="482" spans="17:22" x14ac:dyDescent="0.25">
      <c r="Q482"/>
      <c r="V482" s="2"/>
    </row>
    <row r="483" spans="17:22" x14ac:dyDescent="0.25">
      <c r="Q483"/>
      <c r="V483" s="2"/>
    </row>
    <row r="484" spans="17:22" x14ac:dyDescent="0.25">
      <c r="Q484"/>
      <c r="V484" s="2"/>
    </row>
    <row r="485" spans="17:22" x14ac:dyDescent="0.25">
      <c r="Q485"/>
      <c r="V485" s="2"/>
    </row>
    <row r="486" spans="17:22" x14ac:dyDescent="0.25">
      <c r="Q486"/>
      <c r="V486" s="2"/>
    </row>
    <row r="487" spans="17:22" x14ac:dyDescent="0.25">
      <c r="Q487"/>
      <c r="V487" s="2"/>
    </row>
    <row r="488" spans="17:22" x14ac:dyDescent="0.25">
      <c r="Q488"/>
      <c r="V488" s="2"/>
    </row>
    <row r="489" spans="17:22" x14ac:dyDescent="0.25">
      <c r="Q489"/>
      <c r="V489" s="2"/>
    </row>
    <row r="490" spans="17:22" x14ac:dyDescent="0.25">
      <c r="Q490"/>
      <c r="V490" s="2"/>
    </row>
    <row r="491" spans="17:22" x14ac:dyDescent="0.25">
      <c r="Q491"/>
      <c r="V491" s="2"/>
    </row>
    <row r="492" spans="17:22" x14ac:dyDescent="0.25">
      <c r="Q492"/>
      <c r="V492" s="2"/>
    </row>
    <row r="493" spans="17:22" x14ac:dyDescent="0.25">
      <c r="Q493"/>
      <c r="V493" s="2"/>
    </row>
    <row r="494" spans="17:22" x14ac:dyDescent="0.25">
      <c r="Q494"/>
      <c r="V494" s="2"/>
    </row>
    <row r="495" spans="17:22" x14ac:dyDescent="0.25">
      <c r="Q495"/>
      <c r="V495" s="2"/>
    </row>
    <row r="496" spans="17:22" x14ac:dyDescent="0.25">
      <c r="Q496"/>
      <c r="V496" s="2"/>
    </row>
    <row r="497" spans="17:22" x14ac:dyDescent="0.25">
      <c r="Q497"/>
      <c r="V497" s="2"/>
    </row>
    <row r="498" spans="17:22" x14ac:dyDescent="0.25">
      <c r="Q498"/>
      <c r="V498" s="2"/>
    </row>
    <row r="499" spans="17:22" x14ac:dyDescent="0.25">
      <c r="Q499"/>
      <c r="V499" s="2"/>
    </row>
    <row r="500" spans="17:22" x14ac:dyDescent="0.25">
      <c r="Q500"/>
      <c r="V500" s="2"/>
    </row>
    <row r="501" spans="17:22" x14ac:dyDescent="0.25">
      <c r="Q501"/>
      <c r="V501" s="2"/>
    </row>
    <row r="502" spans="17:22" x14ac:dyDescent="0.25">
      <c r="Q502"/>
      <c r="V502" s="2"/>
    </row>
    <row r="503" spans="17:22" x14ac:dyDescent="0.25">
      <c r="Q503"/>
      <c r="V503" s="2"/>
    </row>
    <row r="504" spans="17:22" x14ac:dyDescent="0.25">
      <c r="Q504"/>
      <c r="V504" s="2"/>
    </row>
    <row r="505" spans="17:22" x14ac:dyDescent="0.25">
      <c r="Q505"/>
      <c r="V505" s="2"/>
    </row>
    <row r="506" spans="17:22" x14ac:dyDescent="0.25">
      <c r="Q506"/>
      <c r="V506" s="2"/>
    </row>
    <row r="507" spans="17:22" x14ac:dyDescent="0.25">
      <c r="Q507"/>
      <c r="V507" s="2"/>
    </row>
    <row r="508" spans="17:22" x14ac:dyDescent="0.25">
      <c r="Q508"/>
      <c r="V508" s="2"/>
    </row>
    <row r="509" spans="17:22" x14ac:dyDescent="0.25">
      <c r="Q509"/>
      <c r="V509" s="2"/>
    </row>
    <row r="510" spans="17:22" x14ac:dyDescent="0.25">
      <c r="Q510"/>
      <c r="V510" s="2"/>
    </row>
    <row r="511" spans="17:22" x14ac:dyDescent="0.25">
      <c r="Q511"/>
      <c r="V511" s="2"/>
    </row>
    <row r="512" spans="17:22" x14ac:dyDescent="0.25">
      <c r="Q512"/>
      <c r="V512" s="2"/>
    </row>
    <row r="513" spans="17:22" x14ac:dyDescent="0.25">
      <c r="Q513"/>
      <c r="V513" s="2"/>
    </row>
    <row r="514" spans="17:22" x14ac:dyDescent="0.25">
      <c r="Q514"/>
      <c r="V514" s="2"/>
    </row>
    <row r="515" spans="17:22" x14ac:dyDescent="0.25">
      <c r="Q515"/>
      <c r="V515" s="2"/>
    </row>
    <row r="516" spans="17:22" x14ac:dyDescent="0.25">
      <c r="Q516"/>
      <c r="V516" s="2"/>
    </row>
    <row r="517" spans="17:22" x14ac:dyDescent="0.25">
      <c r="Q517"/>
      <c r="V517" s="2"/>
    </row>
    <row r="518" spans="17:22" x14ac:dyDescent="0.25">
      <c r="Q518"/>
      <c r="V518" s="2"/>
    </row>
    <row r="519" spans="17:22" x14ac:dyDescent="0.25">
      <c r="Q519"/>
      <c r="V519" s="2"/>
    </row>
    <row r="520" spans="17:22" x14ac:dyDescent="0.25">
      <c r="Q520"/>
      <c r="V520" s="2"/>
    </row>
    <row r="521" spans="17:22" x14ac:dyDescent="0.25">
      <c r="Q521"/>
      <c r="V521" s="2"/>
    </row>
    <row r="522" spans="17:22" x14ac:dyDescent="0.25">
      <c r="Q522"/>
      <c r="V522" s="2"/>
    </row>
    <row r="523" spans="17:22" x14ac:dyDescent="0.25">
      <c r="Q523"/>
      <c r="V523" s="2"/>
    </row>
    <row r="524" spans="17:22" x14ac:dyDescent="0.25">
      <c r="Q524"/>
      <c r="V524" s="2"/>
    </row>
    <row r="525" spans="17:22" x14ac:dyDescent="0.25">
      <c r="Q525"/>
      <c r="V525" s="2"/>
    </row>
    <row r="526" spans="17:22" x14ac:dyDescent="0.25">
      <c r="Q526"/>
      <c r="V526" s="2"/>
    </row>
    <row r="527" spans="17:22" x14ac:dyDescent="0.25">
      <c r="Q527"/>
      <c r="V527" s="2"/>
    </row>
    <row r="528" spans="17:22" x14ac:dyDescent="0.25">
      <c r="Q528"/>
      <c r="V528" s="2"/>
    </row>
    <row r="529" spans="17:22" x14ac:dyDescent="0.25">
      <c r="Q529"/>
      <c r="V529" s="2"/>
    </row>
    <row r="530" spans="17:22" x14ac:dyDescent="0.25">
      <c r="Q530"/>
      <c r="V530" s="2"/>
    </row>
    <row r="531" spans="17:22" x14ac:dyDescent="0.25">
      <c r="Q531"/>
      <c r="V531" s="2"/>
    </row>
    <row r="532" spans="17:22" x14ac:dyDescent="0.25">
      <c r="Q532"/>
      <c r="V532" s="2"/>
    </row>
    <row r="533" spans="17:22" x14ac:dyDescent="0.25">
      <c r="Q533"/>
      <c r="V533" s="2"/>
    </row>
    <row r="534" spans="17:22" x14ac:dyDescent="0.25">
      <c r="Q534"/>
      <c r="V534" s="2"/>
    </row>
    <row r="535" spans="17:22" x14ac:dyDescent="0.25">
      <c r="Q535"/>
      <c r="V535" s="2"/>
    </row>
    <row r="536" spans="17:22" x14ac:dyDescent="0.25">
      <c r="Q536"/>
      <c r="V536" s="2"/>
    </row>
    <row r="537" spans="17:22" x14ac:dyDescent="0.25">
      <c r="Q537"/>
      <c r="V537" s="2"/>
    </row>
    <row r="538" spans="17:22" x14ac:dyDescent="0.25">
      <c r="Q538"/>
      <c r="V538" s="2"/>
    </row>
    <row r="539" spans="17:22" x14ac:dyDescent="0.25">
      <c r="Q539"/>
      <c r="V539" s="2"/>
    </row>
    <row r="540" spans="17:22" x14ac:dyDescent="0.25">
      <c r="Q540"/>
      <c r="V540" s="2"/>
    </row>
    <row r="541" spans="17:22" x14ac:dyDescent="0.25">
      <c r="Q541"/>
      <c r="V541" s="2"/>
    </row>
    <row r="542" spans="17:22" x14ac:dyDescent="0.25">
      <c r="Q542"/>
      <c r="V542" s="2"/>
    </row>
    <row r="543" spans="17:22" x14ac:dyDescent="0.25">
      <c r="Q543"/>
      <c r="V543" s="2"/>
    </row>
    <row r="544" spans="17:22" x14ac:dyDescent="0.25">
      <c r="Q544"/>
      <c r="V544" s="2"/>
    </row>
    <row r="545" spans="17:22" x14ac:dyDescent="0.25">
      <c r="Q545"/>
      <c r="V545" s="2"/>
    </row>
    <row r="546" spans="17:22" x14ac:dyDescent="0.25">
      <c r="Q546"/>
      <c r="V546" s="2"/>
    </row>
    <row r="547" spans="17:22" x14ac:dyDescent="0.25">
      <c r="Q547"/>
      <c r="V547" s="2"/>
    </row>
    <row r="548" spans="17:22" x14ac:dyDescent="0.25">
      <c r="Q548"/>
      <c r="V548" s="2"/>
    </row>
    <row r="549" spans="17:22" x14ac:dyDescent="0.25">
      <c r="Q549"/>
      <c r="V549" s="2"/>
    </row>
    <row r="550" spans="17:22" x14ac:dyDescent="0.25">
      <c r="Q550"/>
      <c r="V550" s="2"/>
    </row>
    <row r="551" spans="17:22" x14ac:dyDescent="0.25">
      <c r="Q551"/>
      <c r="V551" s="2"/>
    </row>
    <row r="552" spans="17:22" x14ac:dyDescent="0.25">
      <c r="Q552"/>
      <c r="V552" s="2"/>
    </row>
    <row r="553" spans="17:22" x14ac:dyDescent="0.25">
      <c r="Q553"/>
      <c r="V553" s="2"/>
    </row>
    <row r="554" spans="17:22" x14ac:dyDescent="0.25">
      <c r="Q554"/>
      <c r="V554" s="2"/>
    </row>
    <row r="555" spans="17:22" x14ac:dyDescent="0.25">
      <c r="Q555"/>
      <c r="V555" s="2"/>
    </row>
    <row r="556" spans="17:22" x14ac:dyDescent="0.25">
      <c r="Q556"/>
      <c r="V556" s="2"/>
    </row>
    <row r="557" spans="17:22" x14ac:dyDescent="0.25">
      <c r="Q557"/>
      <c r="V557" s="2"/>
    </row>
    <row r="558" spans="17:22" x14ac:dyDescent="0.25">
      <c r="Q558"/>
      <c r="V558" s="2"/>
    </row>
    <row r="559" spans="17:22" x14ac:dyDescent="0.25">
      <c r="Q559"/>
      <c r="V559" s="2"/>
    </row>
    <row r="560" spans="17:22" x14ac:dyDescent="0.25">
      <c r="Q560"/>
      <c r="V560" s="2"/>
    </row>
    <row r="561" spans="17:22" x14ac:dyDescent="0.25">
      <c r="Q561"/>
      <c r="V561" s="2"/>
    </row>
    <row r="562" spans="17:22" x14ac:dyDescent="0.25">
      <c r="Q562"/>
      <c r="V562" s="2"/>
    </row>
    <row r="563" spans="17:22" x14ac:dyDescent="0.25">
      <c r="Q563"/>
      <c r="V563" s="2"/>
    </row>
    <row r="564" spans="17:22" x14ac:dyDescent="0.25">
      <c r="Q564"/>
      <c r="V564" s="2"/>
    </row>
    <row r="565" spans="17:22" x14ac:dyDescent="0.25">
      <c r="Q565"/>
      <c r="V565" s="2"/>
    </row>
    <row r="566" spans="17:22" x14ac:dyDescent="0.25">
      <c r="Q566"/>
      <c r="V566" s="2"/>
    </row>
    <row r="567" spans="17:22" x14ac:dyDescent="0.25">
      <c r="Q567"/>
      <c r="V567" s="2"/>
    </row>
    <row r="568" spans="17:22" x14ac:dyDescent="0.25">
      <c r="Q568"/>
      <c r="V568" s="2"/>
    </row>
    <row r="569" spans="17:22" x14ac:dyDescent="0.25">
      <c r="Q569"/>
      <c r="V569" s="2"/>
    </row>
    <row r="570" spans="17:22" x14ac:dyDescent="0.25">
      <c r="Q570"/>
      <c r="V570" s="2"/>
    </row>
    <row r="571" spans="17:22" x14ac:dyDescent="0.25">
      <c r="Q571"/>
      <c r="V571" s="2"/>
    </row>
    <row r="572" spans="17:22" x14ac:dyDescent="0.25">
      <c r="Q572"/>
      <c r="V572" s="2"/>
    </row>
    <row r="573" spans="17:22" x14ac:dyDescent="0.25">
      <c r="Q573"/>
      <c r="V573" s="2"/>
    </row>
    <row r="574" spans="17:22" x14ac:dyDescent="0.25">
      <c r="Q574"/>
      <c r="V574" s="2"/>
    </row>
    <row r="575" spans="17:22" x14ac:dyDescent="0.25">
      <c r="Q575"/>
      <c r="V575" s="2"/>
    </row>
    <row r="576" spans="17:22" x14ac:dyDescent="0.25">
      <c r="Q576"/>
      <c r="V576" s="2"/>
    </row>
    <row r="577" spans="17:22" x14ac:dyDescent="0.25">
      <c r="Q577"/>
      <c r="V577" s="2"/>
    </row>
    <row r="578" spans="17:22" x14ac:dyDescent="0.25">
      <c r="Q578"/>
      <c r="V578" s="2"/>
    </row>
    <row r="579" spans="17:22" x14ac:dyDescent="0.25">
      <c r="Q579"/>
      <c r="V579" s="2"/>
    </row>
    <row r="580" spans="17:22" x14ac:dyDescent="0.25">
      <c r="Q580"/>
      <c r="V580" s="2"/>
    </row>
    <row r="581" spans="17:22" x14ac:dyDescent="0.25">
      <c r="Q581"/>
      <c r="V581" s="2"/>
    </row>
    <row r="582" spans="17:22" x14ac:dyDescent="0.25">
      <c r="Q582"/>
      <c r="V582" s="2"/>
    </row>
    <row r="583" spans="17:22" x14ac:dyDescent="0.25">
      <c r="Q583"/>
      <c r="V583" s="2"/>
    </row>
    <row r="584" spans="17:22" x14ac:dyDescent="0.25">
      <c r="Q584"/>
      <c r="V584" s="2"/>
    </row>
    <row r="585" spans="17:22" x14ac:dyDescent="0.25">
      <c r="Q585"/>
      <c r="V585" s="2"/>
    </row>
    <row r="586" spans="17:22" x14ac:dyDescent="0.25">
      <c r="Q586"/>
      <c r="V586" s="2"/>
    </row>
    <row r="587" spans="17:22" x14ac:dyDescent="0.25">
      <c r="Q587"/>
      <c r="V587" s="2"/>
    </row>
    <row r="588" spans="17:22" x14ac:dyDescent="0.25">
      <c r="Q588"/>
      <c r="V588" s="2"/>
    </row>
    <row r="589" spans="17:22" x14ac:dyDescent="0.25">
      <c r="Q589"/>
      <c r="V589" s="2"/>
    </row>
    <row r="590" spans="17:22" x14ac:dyDescent="0.25">
      <c r="Q590"/>
      <c r="V590" s="2"/>
    </row>
    <row r="591" spans="17:22" x14ac:dyDescent="0.25">
      <c r="Q591"/>
      <c r="V591" s="2"/>
    </row>
    <row r="592" spans="17:22" x14ac:dyDescent="0.25">
      <c r="Q592"/>
      <c r="V592" s="2"/>
    </row>
    <row r="593" spans="17:22" x14ac:dyDescent="0.25">
      <c r="Q593"/>
      <c r="V593" s="2"/>
    </row>
    <row r="594" spans="17:22" x14ac:dyDescent="0.25">
      <c r="Q594"/>
      <c r="V594" s="2"/>
    </row>
    <row r="595" spans="17:22" x14ac:dyDescent="0.25">
      <c r="Q595"/>
      <c r="V595" s="2"/>
    </row>
    <row r="596" spans="17:22" x14ac:dyDescent="0.25">
      <c r="Q596"/>
      <c r="V596" s="2"/>
    </row>
    <row r="597" spans="17:22" x14ac:dyDescent="0.25">
      <c r="Q597"/>
      <c r="V597" s="2"/>
    </row>
    <row r="598" spans="17:22" x14ac:dyDescent="0.25">
      <c r="Q598"/>
      <c r="V598" s="2"/>
    </row>
    <row r="599" spans="17:22" x14ac:dyDescent="0.25">
      <c r="Q599"/>
      <c r="V599" s="2"/>
    </row>
    <row r="600" spans="17:22" x14ac:dyDescent="0.25">
      <c r="Q600"/>
      <c r="V600" s="2"/>
    </row>
    <row r="601" spans="17:22" x14ac:dyDescent="0.25">
      <c r="Q601"/>
      <c r="V601" s="2"/>
    </row>
    <row r="602" spans="17:22" x14ac:dyDescent="0.25">
      <c r="Q602"/>
      <c r="V602" s="2"/>
    </row>
    <row r="603" spans="17:22" x14ac:dyDescent="0.25">
      <c r="Q603"/>
      <c r="V603" s="2"/>
    </row>
    <row r="604" spans="17:22" x14ac:dyDescent="0.25">
      <c r="Q604"/>
      <c r="V604" s="2"/>
    </row>
    <row r="605" spans="17:22" x14ac:dyDescent="0.25">
      <c r="Q605"/>
      <c r="V605" s="2"/>
    </row>
    <row r="606" spans="17:22" x14ac:dyDescent="0.25">
      <c r="Q606"/>
      <c r="V606" s="2"/>
    </row>
    <row r="607" spans="17:22" x14ac:dyDescent="0.25">
      <c r="Q607"/>
      <c r="V607" s="2"/>
    </row>
    <row r="608" spans="17:22" x14ac:dyDescent="0.25">
      <c r="Q608"/>
      <c r="V608" s="2"/>
    </row>
    <row r="609" spans="17:22" x14ac:dyDescent="0.25">
      <c r="Q609"/>
      <c r="V609" s="2"/>
    </row>
    <row r="610" spans="17:22" x14ac:dyDescent="0.25">
      <c r="Q610"/>
      <c r="V610" s="2"/>
    </row>
    <row r="611" spans="17:22" x14ac:dyDescent="0.25">
      <c r="Q611"/>
      <c r="V611" s="2"/>
    </row>
    <row r="612" spans="17:22" x14ac:dyDescent="0.25">
      <c r="Q612"/>
      <c r="V612" s="2"/>
    </row>
    <row r="613" spans="17:22" x14ac:dyDescent="0.25">
      <c r="Q613"/>
      <c r="V613" s="2"/>
    </row>
    <row r="614" spans="17:22" x14ac:dyDescent="0.25">
      <c r="Q614"/>
      <c r="V614" s="2"/>
    </row>
    <row r="615" spans="17:22" x14ac:dyDescent="0.25">
      <c r="Q615"/>
      <c r="V615" s="2"/>
    </row>
    <row r="616" spans="17:22" x14ac:dyDescent="0.25">
      <c r="Q616"/>
      <c r="V616" s="2"/>
    </row>
    <row r="617" spans="17:22" x14ac:dyDescent="0.25">
      <c r="Q617"/>
      <c r="V617" s="2"/>
    </row>
    <row r="618" spans="17:22" x14ac:dyDescent="0.25">
      <c r="Q618"/>
      <c r="V618" s="2"/>
    </row>
    <row r="619" spans="17:22" x14ac:dyDescent="0.25">
      <c r="Q619"/>
      <c r="V619" s="2"/>
    </row>
    <row r="620" spans="17:22" x14ac:dyDescent="0.25">
      <c r="Q620"/>
      <c r="V620" s="2"/>
    </row>
    <row r="621" spans="17:22" x14ac:dyDescent="0.25">
      <c r="Q621"/>
      <c r="V621" s="2"/>
    </row>
    <row r="622" spans="17:22" x14ac:dyDescent="0.25">
      <c r="Q622"/>
      <c r="V622" s="2"/>
    </row>
    <row r="623" spans="17:22" x14ac:dyDescent="0.25">
      <c r="Q623"/>
      <c r="V623" s="2"/>
    </row>
    <row r="624" spans="17:22" x14ac:dyDescent="0.25">
      <c r="Q624"/>
      <c r="V624" s="2"/>
    </row>
    <row r="625" spans="17:22" x14ac:dyDescent="0.25">
      <c r="Q625"/>
      <c r="V625" s="2"/>
    </row>
    <row r="626" spans="17:22" x14ac:dyDescent="0.25">
      <c r="Q626"/>
      <c r="V626" s="2"/>
    </row>
    <row r="627" spans="17:22" x14ac:dyDescent="0.25">
      <c r="Q627"/>
      <c r="V627" s="2"/>
    </row>
    <row r="628" spans="17:22" x14ac:dyDescent="0.25">
      <c r="Q628"/>
      <c r="V628" s="2"/>
    </row>
    <row r="629" spans="17:22" x14ac:dyDescent="0.25">
      <c r="Q629"/>
      <c r="V629" s="2"/>
    </row>
    <row r="630" spans="17:22" x14ac:dyDescent="0.25">
      <c r="Q630"/>
      <c r="V630" s="2"/>
    </row>
    <row r="631" spans="17:22" x14ac:dyDescent="0.25">
      <c r="Q631"/>
      <c r="V631" s="2"/>
    </row>
    <row r="632" spans="17:22" x14ac:dyDescent="0.25">
      <c r="Q632"/>
      <c r="V632" s="2"/>
    </row>
    <row r="633" spans="17:22" x14ac:dyDescent="0.25">
      <c r="Q633"/>
      <c r="V633" s="2"/>
    </row>
    <row r="634" spans="17:22" x14ac:dyDescent="0.25">
      <c r="Q634"/>
      <c r="V634" s="2"/>
    </row>
    <row r="635" spans="17:22" x14ac:dyDescent="0.25">
      <c r="Q635"/>
      <c r="V635" s="2"/>
    </row>
    <row r="636" spans="17:22" x14ac:dyDescent="0.25">
      <c r="Q636"/>
      <c r="V636" s="2"/>
    </row>
    <row r="637" spans="17:22" x14ac:dyDescent="0.25">
      <c r="Q637"/>
      <c r="V637" s="2"/>
    </row>
    <row r="638" spans="17:22" x14ac:dyDescent="0.25">
      <c r="Q638"/>
      <c r="V638" s="2"/>
    </row>
    <row r="639" spans="17:22" x14ac:dyDescent="0.25">
      <c r="Q639"/>
      <c r="V639" s="2"/>
    </row>
    <row r="640" spans="17:22" x14ac:dyDescent="0.25">
      <c r="Q640"/>
      <c r="V640" s="2"/>
    </row>
    <row r="641" spans="17:22" x14ac:dyDescent="0.25">
      <c r="Q641"/>
      <c r="V641" s="2"/>
    </row>
    <row r="642" spans="17:22" x14ac:dyDescent="0.25">
      <c r="Q642"/>
      <c r="V642" s="2"/>
    </row>
    <row r="643" spans="17:22" x14ac:dyDescent="0.25">
      <c r="Q643"/>
      <c r="V643" s="2"/>
    </row>
    <row r="644" spans="17:22" x14ac:dyDescent="0.25">
      <c r="Q644"/>
      <c r="V644" s="2"/>
    </row>
    <row r="645" spans="17:22" x14ac:dyDescent="0.25">
      <c r="Q645"/>
      <c r="V645" s="2"/>
    </row>
    <row r="646" spans="17:22" x14ac:dyDescent="0.25">
      <c r="Q646"/>
      <c r="V646" s="2"/>
    </row>
    <row r="647" spans="17:22" x14ac:dyDescent="0.25">
      <c r="Q647"/>
      <c r="V647" s="2"/>
    </row>
    <row r="648" spans="17:22" x14ac:dyDescent="0.25">
      <c r="Q648"/>
      <c r="V648" s="2"/>
    </row>
    <row r="649" spans="17:22" x14ac:dyDescent="0.25">
      <c r="Q649"/>
      <c r="V649" s="2"/>
    </row>
    <row r="650" spans="17:22" x14ac:dyDescent="0.25">
      <c r="Q650"/>
      <c r="V650" s="2"/>
    </row>
    <row r="651" spans="17:22" x14ac:dyDescent="0.25">
      <c r="Q651"/>
      <c r="V651" s="2"/>
    </row>
    <row r="652" spans="17:22" x14ac:dyDescent="0.25">
      <c r="Q652"/>
      <c r="V652" s="2"/>
    </row>
    <row r="653" spans="17:22" x14ac:dyDescent="0.25">
      <c r="Q653"/>
      <c r="V653" s="2"/>
    </row>
    <row r="654" spans="17:22" x14ac:dyDescent="0.25">
      <c r="Q654"/>
      <c r="V654" s="2"/>
    </row>
    <row r="655" spans="17:22" x14ac:dyDescent="0.25">
      <c r="Q655"/>
      <c r="V655" s="2"/>
    </row>
    <row r="656" spans="17:22" x14ac:dyDescent="0.25">
      <c r="Q656"/>
      <c r="V656" s="2"/>
    </row>
    <row r="657" spans="17:22" x14ac:dyDescent="0.25">
      <c r="Q657"/>
      <c r="V657" s="2"/>
    </row>
    <row r="658" spans="17:22" x14ac:dyDescent="0.25">
      <c r="Q658"/>
      <c r="V658" s="2"/>
    </row>
    <row r="659" spans="17:22" x14ac:dyDescent="0.25">
      <c r="Q659"/>
      <c r="V659" s="2"/>
    </row>
    <row r="660" spans="17:22" x14ac:dyDescent="0.25">
      <c r="Q660"/>
      <c r="V660" s="2"/>
    </row>
    <row r="661" spans="17:22" x14ac:dyDescent="0.25">
      <c r="Q661"/>
      <c r="V661" s="2"/>
    </row>
    <row r="662" spans="17:22" x14ac:dyDescent="0.25">
      <c r="Q662"/>
      <c r="V662" s="2"/>
    </row>
    <row r="663" spans="17:22" x14ac:dyDescent="0.25">
      <c r="Q663"/>
      <c r="V663" s="2"/>
    </row>
    <row r="664" spans="17:22" x14ac:dyDescent="0.25">
      <c r="Q664"/>
      <c r="V664" s="2"/>
    </row>
    <row r="665" spans="17:22" x14ac:dyDescent="0.25">
      <c r="Q665"/>
      <c r="V665" s="2"/>
    </row>
    <row r="666" spans="17:22" x14ac:dyDescent="0.25">
      <c r="Q666"/>
      <c r="V666" s="2"/>
    </row>
    <row r="667" spans="17:22" x14ac:dyDescent="0.25">
      <c r="Q667"/>
      <c r="V667" s="2"/>
    </row>
    <row r="668" spans="17:22" x14ac:dyDescent="0.25">
      <c r="Q668"/>
      <c r="V668" s="2"/>
    </row>
    <row r="669" spans="17:22" x14ac:dyDescent="0.25">
      <c r="Q669"/>
      <c r="V669" s="2"/>
    </row>
    <row r="670" spans="17:22" x14ac:dyDescent="0.25">
      <c r="Q670"/>
      <c r="V670" s="2"/>
    </row>
    <row r="671" spans="17:22" x14ac:dyDescent="0.25">
      <c r="Q671"/>
      <c r="V671" s="2"/>
    </row>
    <row r="672" spans="17:22" x14ac:dyDescent="0.25">
      <c r="Q672"/>
      <c r="V672" s="2"/>
    </row>
    <row r="673" spans="17:22" x14ac:dyDescent="0.25">
      <c r="Q673"/>
      <c r="V673" s="2"/>
    </row>
    <row r="674" spans="17:22" x14ac:dyDescent="0.25">
      <c r="Q674"/>
      <c r="V674" s="2"/>
    </row>
    <row r="675" spans="17:22" x14ac:dyDescent="0.25">
      <c r="Q675"/>
      <c r="V675" s="2"/>
    </row>
    <row r="676" spans="17:22" x14ac:dyDescent="0.25">
      <c r="Q676"/>
      <c r="V676" s="2"/>
    </row>
    <row r="677" spans="17:22" x14ac:dyDescent="0.25">
      <c r="Q677"/>
      <c r="V677" s="2"/>
    </row>
    <row r="678" spans="17:22" x14ac:dyDescent="0.25">
      <c r="Q678"/>
      <c r="V678" s="2"/>
    </row>
    <row r="679" spans="17:22" x14ac:dyDescent="0.25">
      <c r="Q679"/>
      <c r="V679" s="2"/>
    </row>
    <row r="680" spans="17:22" x14ac:dyDescent="0.25">
      <c r="Q680"/>
      <c r="V680" s="2"/>
    </row>
    <row r="681" spans="17:22" x14ac:dyDescent="0.25">
      <c r="Q681"/>
      <c r="V681" s="2"/>
    </row>
    <row r="682" spans="17:22" x14ac:dyDescent="0.25">
      <c r="Q682"/>
      <c r="V682" s="2"/>
    </row>
    <row r="683" spans="17:22" x14ac:dyDescent="0.25">
      <c r="Q683"/>
      <c r="V683" s="2"/>
    </row>
    <row r="684" spans="17:22" x14ac:dyDescent="0.25">
      <c r="Q684"/>
      <c r="V684" s="2"/>
    </row>
    <row r="685" spans="17:22" x14ac:dyDescent="0.25">
      <c r="Q685"/>
      <c r="V685" s="2"/>
    </row>
    <row r="686" spans="17:22" x14ac:dyDescent="0.25">
      <c r="Q686"/>
      <c r="V686" s="2"/>
    </row>
    <row r="687" spans="17:22" x14ac:dyDescent="0.25">
      <c r="Q687"/>
      <c r="V687" s="2"/>
    </row>
    <row r="688" spans="17:22" x14ac:dyDescent="0.25">
      <c r="Q688"/>
      <c r="V688" s="2"/>
    </row>
    <row r="689" spans="17:22" x14ac:dyDescent="0.25">
      <c r="Q689"/>
      <c r="V689" s="2"/>
    </row>
    <row r="690" spans="17:22" x14ac:dyDescent="0.25">
      <c r="Q690"/>
      <c r="V690" s="2"/>
    </row>
    <row r="691" spans="17:22" x14ac:dyDescent="0.25">
      <c r="Q691"/>
      <c r="V691" s="2"/>
    </row>
    <row r="692" spans="17:22" x14ac:dyDescent="0.25">
      <c r="Q692"/>
      <c r="V692" s="2"/>
    </row>
    <row r="693" spans="17:22" x14ac:dyDescent="0.25">
      <c r="Q693"/>
      <c r="V693" s="2"/>
    </row>
    <row r="694" spans="17:22" x14ac:dyDescent="0.25">
      <c r="Q694"/>
      <c r="V694" s="2"/>
    </row>
    <row r="695" spans="17:22" x14ac:dyDescent="0.25">
      <c r="Q695"/>
      <c r="V695" s="2"/>
    </row>
    <row r="696" spans="17:22" x14ac:dyDescent="0.25">
      <c r="Q696"/>
      <c r="V696" s="2"/>
    </row>
    <row r="697" spans="17:22" x14ac:dyDescent="0.25">
      <c r="Q697"/>
      <c r="V697" s="2"/>
    </row>
    <row r="698" spans="17:22" x14ac:dyDescent="0.25">
      <c r="Q698"/>
      <c r="V698" s="2"/>
    </row>
    <row r="699" spans="17:22" x14ac:dyDescent="0.25">
      <c r="Q699"/>
      <c r="V699" s="2"/>
    </row>
    <row r="700" spans="17:22" x14ac:dyDescent="0.25">
      <c r="Q700"/>
      <c r="V700" s="2"/>
    </row>
    <row r="701" spans="17:22" x14ac:dyDescent="0.25">
      <c r="Q701"/>
      <c r="V701" s="2"/>
    </row>
    <row r="702" spans="17:22" x14ac:dyDescent="0.25">
      <c r="Q702"/>
      <c r="V702" s="2"/>
    </row>
    <row r="703" spans="17:22" x14ac:dyDescent="0.25">
      <c r="Q703"/>
      <c r="V703" s="2"/>
    </row>
    <row r="704" spans="17:22" x14ac:dyDescent="0.25">
      <c r="Q704"/>
      <c r="V704" s="2"/>
    </row>
    <row r="705" spans="17:22" x14ac:dyDescent="0.25">
      <c r="Q705"/>
      <c r="V705" s="2"/>
    </row>
    <row r="706" spans="17:22" x14ac:dyDescent="0.25">
      <c r="Q706"/>
      <c r="V706" s="2"/>
    </row>
    <row r="707" spans="17:22" x14ac:dyDescent="0.25">
      <c r="Q707"/>
      <c r="V707" s="2"/>
    </row>
    <row r="708" spans="17:22" x14ac:dyDescent="0.25">
      <c r="Q708"/>
      <c r="V708" s="2"/>
    </row>
    <row r="709" spans="17:22" x14ac:dyDescent="0.25">
      <c r="Q709"/>
      <c r="V709" s="2"/>
    </row>
    <row r="710" spans="17:22" x14ac:dyDescent="0.25">
      <c r="Q710"/>
      <c r="V710" s="2"/>
    </row>
    <row r="711" spans="17:22" x14ac:dyDescent="0.25">
      <c r="Q711"/>
      <c r="V711" s="2"/>
    </row>
    <row r="712" spans="17:22" x14ac:dyDescent="0.25">
      <c r="Q712"/>
      <c r="V712" s="2"/>
    </row>
    <row r="713" spans="17:22" x14ac:dyDescent="0.25">
      <c r="Q713"/>
      <c r="V713" s="2"/>
    </row>
    <row r="714" spans="17:22" x14ac:dyDescent="0.25">
      <c r="Q714"/>
      <c r="V714" s="2"/>
    </row>
    <row r="715" spans="17:22" x14ac:dyDescent="0.25">
      <c r="Q715"/>
      <c r="V715" s="2"/>
    </row>
    <row r="716" spans="17:22" x14ac:dyDescent="0.25">
      <c r="Q716"/>
      <c r="V716" s="2"/>
    </row>
    <row r="717" spans="17:22" x14ac:dyDescent="0.25">
      <c r="Q717"/>
      <c r="V717" s="2"/>
    </row>
    <row r="718" spans="17:22" x14ac:dyDescent="0.25">
      <c r="Q718"/>
      <c r="V718" s="2"/>
    </row>
    <row r="719" spans="17:22" x14ac:dyDescent="0.25">
      <c r="Q719"/>
      <c r="V719" s="2"/>
    </row>
    <row r="720" spans="17:22" x14ac:dyDescent="0.25">
      <c r="Q720"/>
      <c r="V720" s="2"/>
    </row>
    <row r="721" spans="17:22" x14ac:dyDescent="0.25">
      <c r="Q721"/>
      <c r="V721" s="2"/>
    </row>
    <row r="722" spans="17:22" x14ac:dyDescent="0.25">
      <c r="Q722"/>
      <c r="V722" s="2"/>
    </row>
    <row r="723" spans="17:22" x14ac:dyDescent="0.25">
      <c r="Q723"/>
      <c r="V723" s="2"/>
    </row>
    <row r="724" spans="17:22" x14ac:dyDescent="0.25">
      <c r="Q724"/>
      <c r="V724" s="2"/>
    </row>
    <row r="725" spans="17:22" x14ac:dyDescent="0.25">
      <c r="Q725"/>
      <c r="V725" s="2"/>
    </row>
    <row r="726" spans="17:22" x14ac:dyDescent="0.25">
      <c r="Q726"/>
      <c r="V726" s="2"/>
    </row>
    <row r="727" spans="17:22" x14ac:dyDescent="0.25">
      <c r="Q727"/>
      <c r="V727" s="2"/>
    </row>
    <row r="728" spans="17:22" x14ac:dyDescent="0.25">
      <c r="Q728"/>
      <c r="V728" s="2"/>
    </row>
    <row r="729" spans="17:22" x14ac:dyDescent="0.25">
      <c r="Q729"/>
      <c r="V729" s="2"/>
    </row>
    <row r="730" spans="17:22" x14ac:dyDescent="0.25">
      <c r="Q730"/>
      <c r="V730" s="2"/>
    </row>
    <row r="731" spans="17:22" x14ac:dyDescent="0.25">
      <c r="Q731"/>
      <c r="V731" s="2"/>
    </row>
    <row r="732" spans="17:22" x14ac:dyDescent="0.25">
      <c r="Q732"/>
      <c r="V732" s="2"/>
    </row>
    <row r="733" spans="17:22" x14ac:dyDescent="0.25">
      <c r="Q733"/>
      <c r="V733" s="2"/>
    </row>
    <row r="734" spans="17:22" x14ac:dyDescent="0.25">
      <c r="Q734"/>
      <c r="V734" s="2"/>
    </row>
    <row r="735" spans="17:22" x14ac:dyDescent="0.25">
      <c r="Q735"/>
      <c r="V735" s="2"/>
    </row>
    <row r="736" spans="17:22" x14ac:dyDescent="0.25">
      <c r="Q736"/>
      <c r="V736" s="2"/>
    </row>
    <row r="737" spans="17:22" x14ac:dyDescent="0.25">
      <c r="Q737"/>
      <c r="V737" s="2"/>
    </row>
    <row r="738" spans="17:22" x14ac:dyDescent="0.25">
      <c r="Q738"/>
      <c r="V738" s="2"/>
    </row>
    <row r="739" spans="17:22" x14ac:dyDescent="0.25">
      <c r="Q739"/>
      <c r="V739" s="2"/>
    </row>
    <row r="740" spans="17:22" x14ac:dyDescent="0.25">
      <c r="Q740"/>
      <c r="V740" s="2"/>
    </row>
    <row r="741" spans="17:22" x14ac:dyDescent="0.25">
      <c r="Q741"/>
      <c r="V741" s="2"/>
    </row>
    <row r="742" spans="17:22" x14ac:dyDescent="0.25">
      <c r="Q742"/>
      <c r="V742" s="2"/>
    </row>
    <row r="743" spans="17:22" x14ac:dyDescent="0.25">
      <c r="Q743"/>
      <c r="V743" s="2"/>
    </row>
    <row r="744" spans="17:22" x14ac:dyDescent="0.25">
      <c r="Q744"/>
      <c r="V744" s="2"/>
    </row>
    <row r="745" spans="17:22" x14ac:dyDescent="0.25">
      <c r="Q745"/>
      <c r="V745" s="2"/>
    </row>
    <row r="746" spans="17:22" x14ac:dyDescent="0.25">
      <c r="Q746"/>
      <c r="V746" s="2"/>
    </row>
    <row r="747" spans="17:22" x14ac:dyDescent="0.25">
      <c r="Q747"/>
      <c r="V747" s="2"/>
    </row>
    <row r="748" spans="17:22" x14ac:dyDescent="0.25">
      <c r="Q748"/>
      <c r="V748" s="2"/>
    </row>
    <row r="749" spans="17:22" x14ac:dyDescent="0.25">
      <c r="Q749"/>
      <c r="V749" s="2"/>
    </row>
    <row r="750" spans="17:22" x14ac:dyDescent="0.25">
      <c r="Q750"/>
      <c r="V750" s="2"/>
    </row>
    <row r="751" spans="17:22" x14ac:dyDescent="0.25">
      <c r="Q751"/>
      <c r="V751" s="2"/>
    </row>
    <row r="752" spans="17:22" x14ac:dyDescent="0.25">
      <c r="Q752"/>
      <c r="V752" s="2"/>
    </row>
    <row r="753" spans="17:22" x14ac:dyDescent="0.25">
      <c r="Q753"/>
      <c r="V753" s="2"/>
    </row>
    <row r="754" spans="17:22" x14ac:dyDescent="0.25">
      <c r="Q754"/>
      <c r="V754" s="2"/>
    </row>
    <row r="755" spans="17:22" x14ac:dyDescent="0.25">
      <c r="Q755"/>
      <c r="V755" s="2"/>
    </row>
    <row r="756" spans="17:22" x14ac:dyDescent="0.25">
      <c r="Q756"/>
      <c r="V756" s="2"/>
    </row>
    <row r="757" spans="17:22" x14ac:dyDescent="0.25">
      <c r="Q757"/>
      <c r="V757" s="2"/>
    </row>
    <row r="758" spans="17:22" x14ac:dyDescent="0.25">
      <c r="Q758"/>
      <c r="V758" s="2"/>
    </row>
    <row r="759" spans="17:22" x14ac:dyDescent="0.25">
      <c r="Q759"/>
      <c r="V759" s="2"/>
    </row>
    <row r="760" spans="17:22" x14ac:dyDescent="0.25">
      <c r="Q760"/>
      <c r="V760" s="2"/>
    </row>
    <row r="761" spans="17:22" x14ac:dyDescent="0.25">
      <c r="Q761"/>
      <c r="V761" s="2"/>
    </row>
    <row r="762" spans="17:22" x14ac:dyDescent="0.25">
      <c r="Q762"/>
      <c r="V762" s="2"/>
    </row>
    <row r="763" spans="17:22" x14ac:dyDescent="0.25">
      <c r="Q763"/>
      <c r="V763" s="2"/>
    </row>
    <row r="764" spans="17:22" x14ac:dyDescent="0.25">
      <c r="Q764"/>
      <c r="V764" s="2"/>
    </row>
    <row r="765" spans="17:22" x14ac:dyDescent="0.25">
      <c r="Q765"/>
      <c r="V765" s="2"/>
    </row>
    <row r="766" spans="17:22" x14ac:dyDescent="0.25">
      <c r="Q766"/>
      <c r="V766" s="2"/>
    </row>
    <row r="767" spans="17:22" x14ac:dyDescent="0.25">
      <c r="Q767"/>
      <c r="V767" s="2"/>
    </row>
    <row r="768" spans="17:22" x14ac:dyDescent="0.25">
      <c r="Q768"/>
      <c r="V768" s="2"/>
    </row>
    <row r="769" spans="17:22" x14ac:dyDescent="0.25">
      <c r="Q769"/>
      <c r="V769" s="2"/>
    </row>
    <row r="770" spans="17:22" x14ac:dyDescent="0.25">
      <c r="Q770"/>
      <c r="V770" s="2"/>
    </row>
    <row r="771" spans="17:22" x14ac:dyDescent="0.25">
      <c r="Q771"/>
      <c r="V771" s="2"/>
    </row>
    <row r="772" spans="17:22" x14ac:dyDescent="0.25">
      <c r="Q772"/>
      <c r="V772" s="2"/>
    </row>
    <row r="773" spans="17:22" x14ac:dyDescent="0.25">
      <c r="Q773"/>
      <c r="V773" s="2"/>
    </row>
    <row r="774" spans="17:22" x14ac:dyDescent="0.25">
      <c r="Q774"/>
      <c r="V774" s="2"/>
    </row>
    <row r="775" spans="17:22" x14ac:dyDescent="0.25">
      <c r="Q775"/>
      <c r="V775" s="2"/>
    </row>
    <row r="776" spans="17:22" x14ac:dyDescent="0.25">
      <c r="Q776"/>
      <c r="V776" s="2"/>
    </row>
    <row r="777" spans="17:22" x14ac:dyDescent="0.25">
      <c r="Q777"/>
      <c r="V777" s="2"/>
    </row>
    <row r="778" spans="17:22" x14ac:dyDescent="0.25">
      <c r="Q778"/>
      <c r="V778" s="2"/>
    </row>
    <row r="779" spans="17:22" x14ac:dyDescent="0.25">
      <c r="Q779"/>
      <c r="V779" s="2"/>
    </row>
    <row r="780" spans="17:22" x14ac:dyDescent="0.25">
      <c r="Q780"/>
      <c r="V780" s="2"/>
    </row>
    <row r="781" spans="17:22" x14ac:dyDescent="0.25">
      <c r="Q781"/>
      <c r="V781" s="2"/>
    </row>
    <row r="782" spans="17:22" x14ac:dyDescent="0.25">
      <c r="Q782"/>
      <c r="V782" s="2"/>
    </row>
    <row r="783" spans="17:22" x14ac:dyDescent="0.25">
      <c r="Q783"/>
      <c r="V783" s="2"/>
    </row>
    <row r="784" spans="17:22" x14ac:dyDescent="0.25">
      <c r="Q784"/>
      <c r="V784" s="2"/>
    </row>
    <row r="785" spans="17:22" x14ac:dyDescent="0.25">
      <c r="Q785"/>
      <c r="V785" s="2"/>
    </row>
    <row r="786" spans="17:22" x14ac:dyDescent="0.25">
      <c r="Q786"/>
      <c r="V786" s="2"/>
    </row>
    <row r="787" spans="17:22" x14ac:dyDescent="0.25">
      <c r="Q787"/>
      <c r="V787" s="2"/>
    </row>
    <row r="788" spans="17:22" x14ac:dyDescent="0.25">
      <c r="Q788"/>
      <c r="V788" s="2"/>
    </row>
    <row r="789" spans="17:22" x14ac:dyDescent="0.25">
      <c r="Q789"/>
      <c r="V789" s="2"/>
    </row>
    <row r="790" spans="17:22" x14ac:dyDescent="0.25">
      <c r="Q790"/>
      <c r="V790" s="2"/>
    </row>
    <row r="791" spans="17:22" x14ac:dyDescent="0.25">
      <c r="Q791"/>
      <c r="V791" s="2"/>
    </row>
    <row r="792" spans="17:22" x14ac:dyDescent="0.25">
      <c r="Q792"/>
      <c r="V792" s="2"/>
    </row>
    <row r="793" spans="17:22" x14ac:dyDescent="0.25">
      <c r="Q793"/>
      <c r="V793" s="2"/>
    </row>
    <row r="794" spans="17:22" x14ac:dyDescent="0.25">
      <c r="Q794"/>
      <c r="V794" s="2"/>
    </row>
    <row r="795" spans="17:22" x14ac:dyDescent="0.25">
      <c r="Q795"/>
      <c r="V795" s="2"/>
    </row>
    <row r="796" spans="17:22" x14ac:dyDescent="0.25">
      <c r="Q796"/>
      <c r="V796" s="2"/>
    </row>
    <row r="797" spans="17:22" x14ac:dyDescent="0.25">
      <c r="Q797"/>
      <c r="V797" s="2"/>
    </row>
    <row r="798" spans="17:22" x14ac:dyDescent="0.25">
      <c r="Q798"/>
      <c r="V798" s="2"/>
    </row>
    <row r="799" spans="17:22" x14ac:dyDescent="0.25">
      <c r="Q799"/>
      <c r="V799" s="2"/>
    </row>
    <row r="800" spans="17:22" x14ac:dyDescent="0.25">
      <c r="Q800"/>
      <c r="V800" s="2"/>
    </row>
    <row r="801" spans="17:22" x14ac:dyDescent="0.25">
      <c r="Q801"/>
      <c r="V801" s="2"/>
    </row>
    <row r="802" spans="17:22" x14ac:dyDescent="0.25">
      <c r="Q802"/>
      <c r="V802" s="2"/>
    </row>
    <row r="803" spans="17:22" x14ac:dyDescent="0.25">
      <c r="Q803"/>
      <c r="V803" s="2"/>
    </row>
    <row r="804" spans="17:22" x14ac:dyDescent="0.25">
      <c r="Q804"/>
      <c r="V804" s="2"/>
    </row>
    <row r="805" spans="17:22" x14ac:dyDescent="0.25">
      <c r="Q805"/>
      <c r="V805" s="2"/>
    </row>
    <row r="806" spans="17:22" x14ac:dyDescent="0.25">
      <c r="Q806"/>
      <c r="V806" s="2"/>
    </row>
    <row r="807" spans="17:22" x14ac:dyDescent="0.25">
      <c r="Q807"/>
      <c r="V807" s="2"/>
    </row>
    <row r="808" spans="17:22" x14ac:dyDescent="0.25">
      <c r="Q808"/>
      <c r="V808" s="2"/>
    </row>
    <row r="809" spans="17:22" x14ac:dyDescent="0.25">
      <c r="Q809"/>
      <c r="V809" s="2"/>
    </row>
    <row r="810" spans="17:22" x14ac:dyDescent="0.25">
      <c r="Q810"/>
      <c r="V810" s="2"/>
    </row>
    <row r="811" spans="17:22" x14ac:dyDescent="0.25">
      <c r="Q811"/>
      <c r="V811" s="2"/>
    </row>
    <row r="812" spans="17:22" x14ac:dyDescent="0.25">
      <c r="Q812"/>
      <c r="V812" s="2"/>
    </row>
    <row r="813" spans="17:22" x14ac:dyDescent="0.25">
      <c r="Q813"/>
      <c r="V813" s="2"/>
    </row>
    <row r="814" spans="17:22" x14ac:dyDescent="0.25">
      <c r="Q814"/>
      <c r="V814" s="2"/>
    </row>
    <row r="815" spans="17:22" x14ac:dyDescent="0.25">
      <c r="Q815"/>
      <c r="V815" s="2"/>
    </row>
    <row r="816" spans="17:22" x14ac:dyDescent="0.25">
      <c r="Q816"/>
      <c r="V816" s="2"/>
    </row>
    <row r="817" spans="17:22" x14ac:dyDescent="0.25">
      <c r="Q817"/>
      <c r="V817" s="2"/>
    </row>
    <row r="818" spans="17:22" x14ac:dyDescent="0.25">
      <c r="Q818"/>
      <c r="V818" s="2"/>
    </row>
    <row r="819" spans="17:22" x14ac:dyDescent="0.25">
      <c r="Q819"/>
      <c r="V819" s="2"/>
    </row>
    <row r="820" spans="17:22" x14ac:dyDescent="0.25">
      <c r="Q820"/>
      <c r="V820" s="2"/>
    </row>
    <row r="821" spans="17:22" x14ac:dyDescent="0.25">
      <c r="Q821"/>
      <c r="V821" s="2"/>
    </row>
    <row r="822" spans="17:22" x14ac:dyDescent="0.25">
      <c r="Q822"/>
      <c r="V822" s="2"/>
    </row>
    <row r="823" spans="17:22" x14ac:dyDescent="0.25">
      <c r="Q823"/>
      <c r="V823" s="2"/>
    </row>
    <row r="824" spans="17:22" x14ac:dyDescent="0.25">
      <c r="Q824"/>
      <c r="V824" s="2"/>
    </row>
    <row r="825" spans="17:22" x14ac:dyDescent="0.25">
      <c r="Q825"/>
      <c r="V825" s="2"/>
    </row>
    <row r="826" spans="17:22" x14ac:dyDescent="0.25">
      <c r="Q826"/>
      <c r="V826" s="2"/>
    </row>
    <row r="827" spans="17:22" x14ac:dyDescent="0.25">
      <c r="Q827"/>
      <c r="V827" s="2"/>
    </row>
    <row r="828" spans="17:22" x14ac:dyDescent="0.25">
      <c r="Q828"/>
      <c r="V828" s="2"/>
    </row>
    <row r="829" spans="17:22" x14ac:dyDescent="0.25">
      <c r="Q829"/>
      <c r="V829" s="2"/>
    </row>
    <row r="830" spans="17:22" x14ac:dyDescent="0.25">
      <c r="Q830"/>
      <c r="V830" s="2"/>
    </row>
    <row r="831" spans="17:22" x14ac:dyDescent="0.25">
      <c r="Q831"/>
      <c r="V831" s="2"/>
    </row>
    <row r="832" spans="17:22" x14ac:dyDescent="0.25">
      <c r="Q832"/>
      <c r="V832" s="2"/>
    </row>
    <row r="833" spans="17:22" x14ac:dyDescent="0.25">
      <c r="Q833"/>
      <c r="V833" s="2"/>
    </row>
    <row r="834" spans="17:22" x14ac:dyDescent="0.25">
      <c r="Q834"/>
      <c r="V834" s="2"/>
    </row>
    <row r="835" spans="17:22" x14ac:dyDescent="0.25">
      <c r="Q835"/>
      <c r="V835" s="2"/>
    </row>
    <row r="836" spans="17:22" x14ac:dyDescent="0.25">
      <c r="Q836"/>
      <c r="V836" s="2"/>
    </row>
    <row r="837" spans="17:22" x14ac:dyDescent="0.25">
      <c r="Q837"/>
      <c r="V837" s="2"/>
    </row>
    <row r="838" spans="17:22" x14ac:dyDescent="0.25">
      <c r="Q838"/>
      <c r="V838" s="2"/>
    </row>
    <row r="839" spans="17:22" x14ac:dyDescent="0.25">
      <c r="Q839"/>
      <c r="V839" s="2"/>
    </row>
    <row r="840" spans="17:22" x14ac:dyDescent="0.25">
      <c r="Q840"/>
      <c r="V840" s="2"/>
    </row>
    <row r="841" spans="17:22" x14ac:dyDescent="0.25">
      <c r="Q841"/>
      <c r="V841" s="2"/>
    </row>
    <row r="842" spans="17:22" x14ac:dyDescent="0.25">
      <c r="Q842"/>
      <c r="V842" s="2"/>
    </row>
    <row r="843" spans="17:22" x14ac:dyDescent="0.25">
      <c r="Q843"/>
      <c r="V843" s="2"/>
    </row>
    <row r="844" spans="17:22" x14ac:dyDescent="0.25">
      <c r="Q844"/>
      <c r="V844" s="2"/>
    </row>
    <row r="845" spans="17:22" x14ac:dyDescent="0.25">
      <c r="Q845"/>
      <c r="V845" s="2"/>
    </row>
    <row r="846" spans="17:22" x14ac:dyDescent="0.25">
      <c r="Q846"/>
      <c r="V846" s="2"/>
    </row>
    <row r="847" spans="17:22" x14ac:dyDescent="0.25">
      <c r="Q847"/>
      <c r="V847" s="2"/>
    </row>
    <row r="848" spans="17:22" x14ac:dyDescent="0.25">
      <c r="Q848"/>
      <c r="V848" s="2"/>
    </row>
    <row r="849" spans="17:22" x14ac:dyDescent="0.25">
      <c r="Q849"/>
      <c r="V849" s="2"/>
    </row>
    <row r="850" spans="17:22" x14ac:dyDescent="0.25">
      <c r="Q850"/>
      <c r="V850" s="2"/>
    </row>
    <row r="851" spans="17:22" x14ac:dyDescent="0.25">
      <c r="Q851"/>
      <c r="V851" s="2"/>
    </row>
    <row r="852" spans="17:22" x14ac:dyDescent="0.25">
      <c r="Q852"/>
      <c r="V852" s="2"/>
    </row>
    <row r="853" spans="17:22" x14ac:dyDescent="0.25">
      <c r="Q853"/>
      <c r="V853" s="2"/>
    </row>
    <row r="854" spans="17:22" x14ac:dyDescent="0.25">
      <c r="Q854"/>
      <c r="V854" s="2"/>
    </row>
    <row r="855" spans="17:22" x14ac:dyDescent="0.25">
      <c r="Q855"/>
      <c r="V855" s="2"/>
    </row>
    <row r="856" spans="17:22" x14ac:dyDescent="0.25">
      <c r="Q856"/>
      <c r="V856" s="2"/>
    </row>
    <row r="857" spans="17:22" x14ac:dyDescent="0.25">
      <c r="Q857"/>
      <c r="V857" s="2"/>
    </row>
    <row r="858" spans="17:22" x14ac:dyDescent="0.25">
      <c r="Q858"/>
      <c r="V858" s="2"/>
    </row>
    <row r="859" spans="17:22" x14ac:dyDescent="0.25">
      <c r="Q859"/>
      <c r="V859" s="2"/>
    </row>
    <row r="860" spans="17:22" x14ac:dyDescent="0.25">
      <c r="Q860"/>
      <c r="V860" s="2"/>
    </row>
    <row r="861" spans="17:22" x14ac:dyDescent="0.25">
      <c r="Q861"/>
      <c r="V861" s="2"/>
    </row>
    <row r="862" spans="17:22" x14ac:dyDescent="0.25">
      <c r="Q862"/>
      <c r="V862" s="2"/>
    </row>
    <row r="863" spans="17:22" x14ac:dyDescent="0.25">
      <c r="Q863"/>
      <c r="V863" s="2"/>
    </row>
    <row r="864" spans="17:22" x14ac:dyDescent="0.25">
      <c r="Q864"/>
      <c r="V864" s="2"/>
    </row>
    <row r="865" spans="17:22" x14ac:dyDescent="0.25">
      <c r="Q865"/>
      <c r="V865" s="2"/>
    </row>
    <row r="866" spans="17:22" x14ac:dyDescent="0.25">
      <c r="Q866"/>
      <c r="V866" s="2"/>
    </row>
    <row r="867" spans="17:22" x14ac:dyDescent="0.25">
      <c r="Q867"/>
      <c r="V867" s="2"/>
    </row>
    <row r="868" spans="17:22" x14ac:dyDescent="0.25">
      <c r="Q868"/>
      <c r="V868" s="2"/>
    </row>
    <row r="869" spans="17:22" x14ac:dyDescent="0.25">
      <c r="Q869"/>
      <c r="V869" s="2"/>
    </row>
    <row r="870" spans="17:22" x14ac:dyDescent="0.25">
      <c r="Q870"/>
      <c r="V870" s="2"/>
    </row>
    <row r="871" spans="17:22" x14ac:dyDescent="0.25">
      <c r="Q871"/>
      <c r="V871" s="2"/>
    </row>
    <row r="872" spans="17:22" x14ac:dyDescent="0.25">
      <c r="Q872"/>
      <c r="V872" s="2"/>
    </row>
    <row r="873" spans="17:22" x14ac:dyDescent="0.25">
      <c r="Q873"/>
      <c r="V873" s="2"/>
    </row>
    <row r="874" spans="17:22" x14ac:dyDescent="0.25">
      <c r="Q874"/>
      <c r="V874" s="2"/>
    </row>
    <row r="875" spans="17:22" x14ac:dyDescent="0.25">
      <c r="Q875"/>
      <c r="V875" s="2"/>
    </row>
    <row r="876" spans="17:22" x14ac:dyDescent="0.25">
      <c r="Q876"/>
      <c r="V876" s="2"/>
    </row>
    <row r="877" spans="17:22" x14ac:dyDescent="0.25">
      <c r="Q877"/>
      <c r="V877" s="2"/>
    </row>
    <row r="878" spans="17:22" x14ac:dyDescent="0.25">
      <c r="Q878"/>
      <c r="V878" s="2"/>
    </row>
    <row r="879" spans="17:22" x14ac:dyDescent="0.25">
      <c r="Q879"/>
      <c r="V879" s="2"/>
    </row>
    <row r="880" spans="17:22" x14ac:dyDescent="0.25">
      <c r="Q880"/>
      <c r="V880" s="2"/>
    </row>
    <row r="881" spans="17:22" x14ac:dyDescent="0.25">
      <c r="Q881"/>
      <c r="V881" s="2"/>
    </row>
    <row r="882" spans="17:22" x14ac:dyDescent="0.25">
      <c r="Q882"/>
      <c r="V882" s="2"/>
    </row>
    <row r="883" spans="17:22" x14ac:dyDescent="0.25">
      <c r="Q883"/>
      <c r="V883" s="2"/>
    </row>
    <row r="884" spans="17:22" x14ac:dyDescent="0.25">
      <c r="Q884"/>
      <c r="V884" s="2"/>
    </row>
    <row r="885" spans="17:22" x14ac:dyDescent="0.25">
      <c r="Q885"/>
      <c r="V885" s="2"/>
    </row>
    <row r="886" spans="17:22" x14ac:dyDescent="0.25">
      <c r="Q886"/>
      <c r="V886" s="2"/>
    </row>
    <row r="887" spans="17:22" x14ac:dyDescent="0.25">
      <c r="Q887"/>
      <c r="V887" s="2"/>
    </row>
    <row r="888" spans="17:22" x14ac:dyDescent="0.25">
      <c r="Q888"/>
      <c r="V888" s="2"/>
    </row>
    <row r="889" spans="17:22" x14ac:dyDescent="0.25">
      <c r="Q889"/>
      <c r="V889" s="2"/>
    </row>
    <row r="890" spans="17:22" x14ac:dyDescent="0.25">
      <c r="Q890"/>
      <c r="V890" s="2"/>
    </row>
    <row r="891" spans="17:22" x14ac:dyDescent="0.25">
      <c r="Q891"/>
      <c r="V891" s="2"/>
    </row>
    <row r="892" spans="17:22" x14ac:dyDescent="0.25">
      <c r="Q892"/>
      <c r="V892" s="2"/>
    </row>
    <row r="893" spans="17:22" x14ac:dyDescent="0.25">
      <c r="Q893"/>
      <c r="V893" s="2"/>
    </row>
    <row r="894" spans="17:22" x14ac:dyDescent="0.25">
      <c r="Q894"/>
      <c r="V894" s="2"/>
    </row>
    <row r="895" spans="17:22" x14ac:dyDescent="0.25">
      <c r="Q895"/>
      <c r="V895" s="2"/>
    </row>
    <row r="896" spans="17:22" x14ac:dyDescent="0.25">
      <c r="Q896"/>
      <c r="V896" s="2"/>
    </row>
    <row r="897" spans="17:22" x14ac:dyDescent="0.25">
      <c r="Q897"/>
      <c r="V897" s="2"/>
    </row>
    <row r="898" spans="17:22" x14ac:dyDescent="0.25">
      <c r="Q898"/>
      <c r="V898" s="2"/>
    </row>
    <row r="899" spans="17:22" x14ac:dyDescent="0.25">
      <c r="Q899"/>
      <c r="V899" s="2"/>
    </row>
    <row r="900" spans="17:22" x14ac:dyDescent="0.25">
      <c r="Q900"/>
      <c r="V900" s="2"/>
    </row>
    <row r="901" spans="17:22" x14ac:dyDescent="0.25">
      <c r="Q901"/>
      <c r="V901" s="2"/>
    </row>
    <row r="902" spans="17:22" x14ac:dyDescent="0.25">
      <c r="Q902"/>
      <c r="V902" s="2"/>
    </row>
    <row r="903" spans="17:22" x14ac:dyDescent="0.25">
      <c r="Q903"/>
      <c r="V903" s="2"/>
    </row>
    <row r="904" spans="17:22" x14ac:dyDescent="0.25">
      <c r="Q904"/>
      <c r="V904" s="2"/>
    </row>
    <row r="905" spans="17:22" x14ac:dyDescent="0.25">
      <c r="Q905"/>
      <c r="V905" s="2"/>
    </row>
    <row r="906" spans="17:22" x14ac:dyDescent="0.25">
      <c r="Q906"/>
      <c r="V906" s="2"/>
    </row>
    <row r="907" spans="17:22" x14ac:dyDescent="0.25">
      <c r="Q907"/>
      <c r="V907" s="2"/>
    </row>
    <row r="908" spans="17:22" x14ac:dyDescent="0.25">
      <c r="Q908"/>
      <c r="V908" s="2"/>
    </row>
    <row r="909" spans="17:22" x14ac:dyDescent="0.25">
      <c r="Q909"/>
      <c r="V909" s="2"/>
    </row>
    <row r="910" spans="17:22" x14ac:dyDescent="0.25">
      <c r="Q910"/>
      <c r="V910" s="2"/>
    </row>
    <row r="911" spans="17:22" x14ac:dyDescent="0.25">
      <c r="Q911"/>
      <c r="V911" s="2"/>
    </row>
    <row r="912" spans="17:22" x14ac:dyDescent="0.25">
      <c r="Q912"/>
      <c r="V912" s="2"/>
    </row>
    <row r="913" spans="17:22" x14ac:dyDescent="0.25">
      <c r="Q913"/>
      <c r="V913" s="2"/>
    </row>
    <row r="914" spans="17:22" x14ac:dyDescent="0.25">
      <c r="Q914"/>
      <c r="V914" s="2"/>
    </row>
    <row r="915" spans="17:22" x14ac:dyDescent="0.25">
      <c r="Q915"/>
      <c r="V915" s="2"/>
    </row>
    <row r="916" spans="17:22" x14ac:dyDescent="0.25">
      <c r="Q916"/>
      <c r="V916" s="2"/>
    </row>
    <row r="917" spans="17:22" x14ac:dyDescent="0.25">
      <c r="Q917"/>
      <c r="V917" s="2"/>
    </row>
    <row r="918" spans="17:22" x14ac:dyDescent="0.25">
      <c r="Q918"/>
      <c r="V918" s="2"/>
    </row>
    <row r="919" spans="17:22" x14ac:dyDescent="0.25">
      <c r="Q919"/>
      <c r="V919" s="2"/>
    </row>
    <row r="920" spans="17:22" x14ac:dyDescent="0.25">
      <c r="Q920"/>
      <c r="V920" s="2"/>
    </row>
    <row r="921" spans="17:22" x14ac:dyDescent="0.25">
      <c r="Q921"/>
      <c r="V921" s="2"/>
    </row>
    <row r="922" spans="17:22" x14ac:dyDescent="0.25">
      <c r="Q922"/>
      <c r="V922" s="2"/>
    </row>
    <row r="923" spans="17:22" x14ac:dyDescent="0.25">
      <c r="Q923"/>
      <c r="V923" s="2"/>
    </row>
    <row r="924" spans="17:22" x14ac:dyDescent="0.25">
      <c r="Q924"/>
      <c r="V924" s="2"/>
    </row>
    <row r="925" spans="17:22" x14ac:dyDescent="0.25">
      <c r="Q925"/>
      <c r="V925" s="2"/>
    </row>
    <row r="926" spans="17:22" x14ac:dyDescent="0.25">
      <c r="Q926"/>
      <c r="V926" s="2"/>
    </row>
    <row r="927" spans="17:22" x14ac:dyDescent="0.25">
      <c r="Q927"/>
      <c r="V927" s="2"/>
    </row>
    <row r="928" spans="17:22" x14ac:dyDescent="0.25">
      <c r="Q928"/>
      <c r="V928" s="2"/>
    </row>
    <row r="929" spans="17:22" x14ac:dyDescent="0.25">
      <c r="Q929"/>
      <c r="V929" s="2"/>
    </row>
    <row r="930" spans="17:22" x14ac:dyDescent="0.25">
      <c r="Q930"/>
      <c r="V930" s="2"/>
    </row>
    <row r="931" spans="17:22" x14ac:dyDescent="0.25">
      <c r="Q931"/>
      <c r="V931" s="2"/>
    </row>
    <row r="932" spans="17:22" x14ac:dyDescent="0.25">
      <c r="Q932"/>
      <c r="V932" s="2"/>
    </row>
    <row r="933" spans="17:22" x14ac:dyDescent="0.25">
      <c r="Q933"/>
      <c r="V933" s="2"/>
    </row>
    <row r="934" spans="17:22" x14ac:dyDescent="0.25">
      <c r="Q934"/>
      <c r="V934" s="2"/>
    </row>
    <row r="935" spans="17:22" x14ac:dyDescent="0.25">
      <c r="Q935"/>
      <c r="V935" s="2"/>
    </row>
    <row r="936" spans="17:22" x14ac:dyDescent="0.25">
      <c r="Q936"/>
      <c r="V936" s="2"/>
    </row>
    <row r="937" spans="17:22" x14ac:dyDescent="0.25">
      <c r="Q937"/>
      <c r="V937" s="2"/>
    </row>
    <row r="938" spans="17:22" x14ac:dyDescent="0.25">
      <c r="Q938"/>
      <c r="V938" s="2"/>
    </row>
    <row r="939" spans="17:22" x14ac:dyDescent="0.25">
      <c r="Q939"/>
      <c r="V939" s="2"/>
    </row>
    <row r="940" spans="17:22" x14ac:dyDescent="0.25">
      <c r="Q940"/>
      <c r="V940" s="2"/>
    </row>
    <row r="941" spans="17:22" x14ac:dyDescent="0.25">
      <c r="Q941"/>
      <c r="V941" s="2"/>
    </row>
    <row r="942" spans="17:22" x14ac:dyDescent="0.25">
      <c r="Q942"/>
      <c r="V942" s="2"/>
    </row>
    <row r="943" spans="17:22" x14ac:dyDescent="0.25">
      <c r="Q943"/>
      <c r="V943" s="2"/>
    </row>
    <row r="944" spans="17:22" x14ac:dyDescent="0.25">
      <c r="Q944"/>
      <c r="V944" s="2"/>
    </row>
    <row r="945" spans="17:22" x14ac:dyDescent="0.25">
      <c r="Q945"/>
      <c r="V945" s="2"/>
    </row>
    <row r="946" spans="17:22" x14ac:dyDescent="0.25">
      <c r="Q946"/>
      <c r="V946" s="2"/>
    </row>
    <row r="947" spans="17:22" x14ac:dyDescent="0.25">
      <c r="Q947"/>
      <c r="V947" s="2"/>
    </row>
    <row r="948" spans="17:22" x14ac:dyDescent="0.25">
      <c r="Q948"/>
      <c r="V948" s="2"/>
    </row>
    <row r="949" spans="17:22" x14ac:dyDescent="0.25">
      <c r="Q949"/>
      <c r="V949" s="2"/>
    </row>
    <row r="950" spans="17:22" x14ac:dyDescent="0.25">
      <c r="Q950"/>
      <c r="V950" s="2"/>
    </row>
    <row r="951" spans="17:22" x14ac:dyDescent="0.25">
      <c r="Q951"/>
      <c r="V951" s="2"/>
    </row>
    <row r="952" spans="17:22" x14ac:dyDescent="0.25">
      <c r="Q952"/>
      <c r="V952" s="2"/>
    </row>
    <row r="953" spans="17:22" x14ac:dyDescent="0.25">
      <c r="Q953"/>
      <c r="V953" s="2"/>
    </row>
    <row r="954" spans="17:22" x14ac:dyDescent="0.25">
      <c r="Q954"/>
      <c r="V954" s="2"/>
    </row>
    <row r="955" spans="17:22" x14ac:dyDescent="0.25">
      <c r="Q955"/>
      <c r="V955" s="2"/>
    </row>
    <row r="956" spans="17:22" x14ac:dyDescent="0.25">
      <c r="Q956"/>
      <c r="V956" s="2"/>
    </row>
    <row r="957" spans="17:22" x14ac:dyDescent="0.25">
      <c r="Q957"/>
      <c r="V957" s="2"/>
    </row>
    <row r="958" spans="17:22" x14ac:dyDescent="0.25">
      <c r="Q958"/>
      <c r="V958" s="2"/>
    </row>
    <row r="959" spans="17:22" x14ac:dyDescent="0.25">
      <c r="Q959"/>
      <c r="V959" s="2"/>
    </row>
    <row r="960" spans="17:22" x14ac:dyDescent="0.25">
      <c r="Q960"/>
      <c r="V960" s="2"/>
    </row>
    <row r="961" spans="17:22" x14ac:dyDescent="0.25">
      <c r="Q961"/>
      <c r="V961" s="2"/>
    </row>
    <row r="962" spans="17:22" x14ac:dyDescent="0.25">
      <c r="Q962"/>
      <c r="V962" s="2"/>
    </row>
    <row r="963" spans="17:22" x14ac:dyDescent="0.25">
      <c r="Q963"/>
      <c r="V963" s="2"/>
    </row>
    <row r="964" spans="17:22" x14ac:dyDescent="0.25">
      <c r="Q964"/>
      <c r="V964" s="2"/>
    </row>
    <row r="965" spans="17:22" x14ac:dyDescent="0.25">
      <c r="Q965"/>
      <c r="V965" s="2"/>
    </row>
    <row r="966" spans="17:22" x14ac:dyDescent="0.25">
      <c r="Q966"/>
      <c r="V966" s="2"/>
    </row>
    <row r="967" spans="17:22" x14ac:dyDescent="0.25">
      <c r="Q967"/>
      <c r="V967" s="2"/>
    </row>
    <row r="968" spans="17:22" x14ac:dyDescent="0.25">
      <c r="Q968"/>
      <c r="V968" s="2"/>
    </row>
    <row r="969" spans="17:22" x14ac:dyDescent="0.25">
      <c r="Q969"/>
      <c r="V969" s="2"/>
    </row>
    <row r="970" spans="17:22" x14ac:dyDescent="0.25">
      <c r="Q970"/>
      <c r="V970" s="2"/>
    </row>
    <row r="971" spans="17:22" x14ac:dyDescent="0.25">
      <c r="Q971"/>
      <c r="V971" s="2"/>
    </row>
    <row r="972" spans="17:22" x14ac:dyDescent="0.25">
      <c r="Q972"/>
      <c r="V972" s="2"/>
    </row>
    <row r="973" spans="17:22" x14ac:dyDescent="0.25">
      <c r="Q973"/>
      <c r="V973" s="2"/>
    </row>
    <row r="974" spans="17:22" x14ac:dyDescent="0.25">
      <c r="Q974"/>
      <c r="V974" s="2"/>
    </row>
    <row r="975" spans="17:22" x14ac:dyDescent="0.25">
      <c r="Q975"/>
      <c r="V975" s="2"/>
    </row>
    <row r="976" spans="17:22" x14ac:dyDescent="0.25">
      <c r="Q976"/>
      <c r="V976" s="2"/>
    </row>
    <row r="977" spans="17:22" x14ac:dyDescent="0.25">
      <c r="Q977"/>
      <c r="V977" s="2"/>
    </row>
    <row r="978" spans="17:22" x14ac:dyDescent="0.25">
      <c r="Q978"/>
      <c r="V978" s="2"/>
    </row>
    <row r="979" spans="17:22" x14ac:dyDescent="0.25">
      <c r="Q979"/>
      <c r="V979" s="2"/>
    </row>
    <row r="980" spans="17:22" x14ac:dyDescent="0.25">
      <c r="Q980"/>
      <c r="V980" s="2"/>
    </row>
    <row r="981" spans="17:22" x14ac:dyDescent="0.25">
      <c r="Q981"/>
      <c r="V981" s="2"/>
    </row>
    <row r="982" spans="17:22" x14ac:dyDescent="0.25">
      <c r="Q982"/>
      <c r="V982" s="2"/>
    </row>
    <row r="983" spans="17:22" x14ac:dyDescent="0.25">
      <c r="Q983"/>
      <c r="V983" s="2"/>
    </row>
    <row r="984" spans="17:22" x14ac:dyDescent="0.25">
      <c r="Q984"/>
      <c r="V984" s="2"/>
    </row>
    <row r="985" spans="17:22" x14ac:dyDescent="0.25">
      <c r="Q985"/>
      <c r="V985" s="2"/>
    </row>
    <row r="986" spans="17:22" x14ac:dyDescent="0.25">
      <c r="Q986"/>
      <c r="V986" s="2"/>
    </row>
    <row r="987" spans="17:22" x14ac:dyDescent="0.25">
      <c r="Q987"/>
      <c r="V987" s="2"/>
    </row>
    <row r="988" spans="17:22" x14ac:dyDescent="0.25">
      <c r="Q988"/>
      <c r="V988" s="2"/>
    </row>
    <row r="989" spans="17:22" x14ac:dyDescent="0.25">
      <c r="Q989"/>
      <c r="V989" s="2"/>
    </row>
    <row r="990" spans="17:22" x14ac:dyDescent="0.25">
      <c r="Q990"/>
      <c r="V990" s="2"/>
    </row>
    <row r="991" spans="17:22" x14ac:dyDescent="0.25">
      <c r="Q991"/>
      <c r="V991" s="2"/>
    </row>
    <row r="992" spans="17:22" x14ac:dyDescent="0.25">
      <c r="Q992"/>
      <c r="V992" s="2"/>
    </row>
    <row r="993" spans="17:22" x14ac:dyDescent="0.25">
      <c r="Q993"/>
      <c r="V993" s="2"/>
    </row>
    <row r="994" spans="17:22" x14ac:dyDescent="0.25">
      <c r="Q994"/>
      <c r="V994" s="2"/>
    </row>
    <row r="995" spans="17:22" x14ac:dyDescent="0.25">
      <c r="Q995"/>
      <c r="V995" s="2"/>
    </row>
    <row r="996" spans="17:22" x14ac:dyDescent="0.25">
      <c r="Q996"/>
      <c r="V996" s="2"/>
    </row>
    <row r="997" spans="17:22" x14ac:dyDescent="0.25">
      <c r="Q997"/>
      <c r="V997" s="2"/>
    </row>
    <row r="998" spans="17:22" x14ac:dyDescent="0.25">
      <c r="Q998"/>
      <c r="V998" s="2"/>
    </row>
    <row r="999" spans="17:22" x14ac:dyDescent="0.25">
      <c r="Q999"/>
      <c r="V999" s="2"/>
    </row>
    <row r="1000" spans="17:22" x14ac:dyDescent="0.25">
      <c r="Q1000"/>
      <c r="V1000" s="2"/>
    </row>
    <row r="1001" spans="17:22" x14ac:dyDescent="0.25">
      <c r="Q1001"/>
      <c r="V1001" s="2"/>
    </row>
    <row r="1002" spans="17:22" x14ac:dyDescent="0.25">
      <c r="Q1002"/>
      <c r="V1002" s="2"/>
    </row>
    <row r="1003" spans="17:22" x14ac:dyDescent="0.25">
      <c r="Q1003"/>
      <c r="V1003" s="2"/>
    </row>
    <row r="1004" spans="17:22" x14ac:dyDescent="0.25">
      <c r="Q1004"/>
      <c r="V1004" s="2"/>
    </row>
    <row r="1005" spans="17:22" x14ac:dyDescent="0.25">
      <c r="Q1005"/>
      <c r="V1005" s="2"/>
    </row>
    <row r="1006" spans="17:22" x14ac:dyDescent="0.25">
      <c r="Q1006"/>
      <c r="V1006" s="2"/>
    </row>
    <row r="1007" spans="17:22" x14ac:dyDescent="0.25">
      <c r="Q1007"/>
      <c r="V1007" s="2"/>
    </row>
    <row r="1008" spans="17:22" x14ac:dyDescent="0.25">
      <c r="Q1008"/>
      <c r="V1008" s="2"/>
    </row>
    <row r="1009" spans="17:22" x14ac:dyDescent="0.25">
      <c r="Q1009"/>
      <c r="V1009" s="2"/>
    </row>
    <row r="1010" spans="17:22" x14ac:dyDescent="0.25">
      <c r="Q1010"/>
      <c r="V1010" s="2"/>
    </row>
    <row r="1011" spans="17:22" x14ac:dyDescent="0.25">
      <c r="Q1011"/>
      <c r="V1011" s="2"/>
    </row>
    <row r="1012" spans="17:22" x14ac:dyDescent="0.25">
      <c r="Q1012"/>
      <c r="V1012" s="2"/>
    </row>
    <row r="1013" spans="17:22" x14ac:dyDescent="0.25">
      <c r="Q1013"/>
      <c r="V1013" s="2"/>
    </row>
    <row r="1014" spans="17:22" x14ac:dyDescent="0.25">
      <c r="Q1014"/>
      <c r="V1014" s="2"/>
    </row>
    <row r="1015" spans="17:22" x14ac:dyDescent="0.25">
      <c r="Q1015"/>
      <c r="V1015" s="2"/>
    </row>
    <row r="1016" spans="17:22" x14ac:dyDescent="0.25">
      <c r="Q1016"/>
      <c r="V1016" s="2"/>
    </row>
    <row r="1017" spans="17:22" x14ac:dyDescent="0.25">
      <c r="Q1017"/>
      <c r="V1017" s="2"/>
    </row>
    <row r="1018" spans="17:22" x14ac:dyDescent="0.25">
      <c r="Q1018"/>
      <c r="V1018" s="2"/>
    </row>
    <row r="1019" spans="17:22" x14ac:dyDescent="0.25">
      <c r="Q1019"/>
      <c r="V1019" s="2"/>
    </row>
    <row r="1020" spans="17:22" x14ac:dyDescent="0.25">
      <c r="Q1020"/>
      <c r="V1020" s="2"/>
    </row>
    <row r="1021" spans="17:22" x14ac:dyDescent="0.25">
      <c r="Q1021"/>
      <c r="V1021" s="2"/>
    </row>
    <row r="1022" spans="17:22" x14ac:dyDescent="0.25">
      <c r="Q1022"/>
      <c r="V1022" s="2"/>
    </row>
    <row r="1023" spans="17:22" x14ac:dyDescent="0.25">
      <c r="Q1023"/>
      <c r="V1023" s="2"/>
    </row>
    <row r="1024" spans="17:22" x14ac:dyDescent="0.25">
      <c r="Q1024"/>
      <c r="V1024" s="2"/>
    </row>
    <row r="1025" spans="17:22" x14ac:dyDescent="0.25">
      <c r="Q1025"/>
      <c r="V1025" s="2"/>
    </row>
    <row r="1026" spans="17:22" x14ac:dyDescent="0.25">
      <c r="Q1026"/>
      <c r="V1026" s="2"/>
    </row>
    <row r="1027" spans="17:22" x14ac:dyDescent="0.25">
      <c r="Q1027"/>
      <c r="V1027" s="2"/>
    </row>
    <row r="1028" spans="17:22" x14ac:dyDescent="0.25">
      <c r="Q1028"/>
      <c r="V1028" s="2"/>
    </row>
    <row r="1029" spans="17:22" x14ac:dyDescent="0.25">
      <c r="Q1029"/>
      <c r="V1029" s="2"/>
    </row>
    <row r="1030" spans="17:22" x14ac:dyDescent="0.25">
      <c r="Q1030"/>
      <c r="V1030" s="2"/>
    </row>
    <row r="1031" spans="17:22" x14ac:dyDescent="0.25">
      <c r="Q1031"/>
      <c r="V1031" s="2"/>
    </row>
    <row r="1032" spans="17:22" x14ac:dyDescent="0.25">
      <c r="Q1032"/>
      <c r="V1032" s="2"/>
    </row>
    <row r="1033" spans="17:22" x14ac:dyDescent="0.25">
      <c r="Q1033"/>
      <c r="V1033" s="2"/>
    </row>
    <row r="1034" spans="17:22" x14ac:dyDescent="0.25">
      <c r="Q1034"/>
      <c r="V1034" s="2"/>
    </row>
    <row r="1035" spans="17:22" x14ac:dyDescent="0.25">
      <c r="Q1035"/>
      <c r="V1035" s="2"/>
    </row>
    <row r="1036" spans="17:22" x14ac:dyDescent="0.25">
      <c r="Q1036"/>
      <c r="V1036" s="2"/>
    </row>
    <row r="1037" spans="17:22" x14ac:dyDescent="0.25">
      <c r="Q1037"/>
      <c r="V1037" s="2"/>
    </row>
    <row r="1038" spans="17:22" x14ac:dyDescent="0.25">
      <c r="Q1038"/>
      <c r="V1038" s="2"/>
    </row>
    <row r="1039" spans="17:22" x14ac:dyDescent="0.25">
      <c r="Q1039"/>
      <c r="V1039" s="2"/>
    </row>
    <row r="1040" spans="17:22" x14ac:dyDescent="0.25">
      <c r="Q1040"/>
      <c r="V1040" s="2"/>
    </row>
    <row r="1041" spans="17:22" x14ac:dyDescent="0.25">
      <c r="Q1041"/>
      <c r="V1041" s="2"/>
    </row>
    <row r="1042" spans="17:22" x14ac:dyDescent="0.25">
      <c r="Q1042"/>
      <c r="V1042" s="2"/>
    </row>
    <row r="1043" spans="17:22" x14ac:dyDescent="0.25">
      <c r="Q1043"/>
      <c r="V1043" s="2"/>
    </row>
    <row r="1044" spans="17:22" x14ac:dyDescent="0.25">
      <c r="Q1044"/>
      <c r="V1044" s="2"/>
    </row>
    <row r="1045" spans="17:22" x14ac:dyDescent="0.25">
      <c r="Q1045"/>
      <c r="V1045" s="2"/>
    </row>
    <row r="1046" spans="17:22" x14ac:dyDescent="0.25">
      <c r="Q1046"/>
      <c r="V1046" s="2"/>
    </row>
    <row r="1047" spans="17:22" x14ac:dyDescent="0.25">
      <c r="Q1047"/>
      <c r="V1047" s="2"/>
    </row>
    <row r="1048" spans="17:22" x14ac:dyDescent="0.25">
      <c r="Q1048"/>
      <c r="V1048" s="2"/>
    </row>
    <row r="1049" spans="17:22" x14ac:dyDescent="0.25">
      <c r="Q1049"/>
      <c r="V1049" s="2"/>
    </row>
    <row r="1050" spans="17:22" x14ac:dyDescent="0.25">
      <c r="Q1050"/>
      <c r="V1050" s="2"/>
    </row>
    <row r="1051" spans="17:22" x14ac:dyDescent="0.25">
      <c r="Q1051"/>
      <c r="V1051" s="2"/>
    </row>
    <row r="1052" spans="17:22" x14ac:dyDescent="0.25">
      <c r="Q1052"/>
      <c r="V1052" s="2"/>
    </row>
    <row r="1053" spans="17:22" x14ac:dyDescent="0.25">
      <c r="Q1053"/>
      <c r="V1053" s="2"/>
    </row>
    <row r="1054" spans="17:22" x14ac:dyDescent="0.25">
      <c r="Q1054"/>
      <c r="V1054" s="2"/>
    </row>
    <row r="1055" spans="17:22" x14ac:dyDescent="0.25">
      <c r="Q1055"/>
      <c r="V1055" s="2"/>
    </row>
    <row r="1056" spans="17:22" x14ac:dyDescent="0.25">
      <c r="Q1056"/>
      <c r="V1056" s="2"/>
    </row>
    <row r="1057" spans="17:22" x14ac:dyDescent="0.25">
      <c r="Q1057"/>
      <c r="V1057" s="2"/>
    </row>
    <row r="1058" spans="17:22" x14ac:dyDescent="0.25">
      <c r="Q1058"/>
      <c r="V1058" s="2"/>
    </row>
    <row r="1059" spans="17:22" x14ac:dyDescent="0.25">
      <c r="Q1059"/>
      <c r="V1059" s="2"/>
    </row>
    <row r="1060" spans="17:22" x14ac:dyDescent="0.25">
      <c r="Q1060"/>
      <c r="V1060" s="2"/>
    </row>
    <row r="1061" spans="17:22" x14ac:dyDescent="0.25">
      <c r="Q1061"/>
      <c r="V1061" s="2"/>
    </row>
    <row r="1062" spans="17:22" x14ac:dyDescent="0.25">
      <c r="Q1062"/>
      <c r="V1062" s="2"/>
    </row>
    <row r="1063" spans="17:22" x14ac:dyDescent="0.25">
      <c r="Q1063"/>
      <c r="V1063" s="2"/>
    </row>
    <row r="1064" spans="17:22" x14ac:dyDescent="0.25">
      <c r="Q1064"/>
      <c r="V1064" s="2"/>
    </row>
    <row r="1065" spans="17:22" x14ac:dyDescent="0.25">
      <c r="Q1065"/>
      <c r="V1065" s="2"/>
    </row>
    <row r="1066" spans="17:22" x14ac:dyDescent="0.25">
      <c r="Q1066"/>
      <c r="V1066" s="2"/>
    </row>
    <row r="1067" spans="17:22" x14ac:dyDescent="0.25">
      <c r="Q1067"/>
      <c r="V1067" s="2"/>
    </row>
    <row r="1068" spans="17:22" x14ac:dyDescent="0.25">
      <c r="Q1068"/>
      <c r="V1068" s="2"/>
    </row>
    <row r="1069" spans="17:22" x14ac:dyDescent="0.25">
      <c r="Q1069"/>
      <c r="V1069" s="2"/>
    </row>
    <row r="1070" spans="17:22" x14ac:dyDescent="0.25">
      <c r="Q1070"/>
      <c r="V1070" s="2"/>
    </row>
    <row r="1071" spans="17:22" x14ac:dyDescent="0.25">
      <c r="Q1071"/>
      <c r="V1071" s="2"/>
    </row>
    <row r="1072" spans="17:22" x14ac:dyDescent="0.25">
      <c r="Q1072"/>
      <c r="V1072" s="2"/>
    </row>
    <row r="1073" spans="17:22" x14ac:dyDescent="0.25">
      <c r="Q1073"/>
      <c r="V1073" s="2"/>
    </row>
    <row r="1074" spans="17:22" x14ac:dyDescent="0.25">
      <c r="Q1074"/>
      <c r="V1074" s="2"/>
    </row>
    <row r="1075" spans="17:22" x14ac:dyDescent="0.25">
      <c r="Q1075"/>
      <c r="V1075" s="2"/>
    </row>
    <row r="1076" spans="17:22" x14ac:dyDescent="0.25">
      <c r="Q1076"/>
      <c r="V1076" s="2"/>
    </row>
    <row r="1077" spans="17:22" x14ac:dyDescent="0.25">
      <c r="Q1077"/>
      <c r="V1077" s="2"/>
    </row>
    <row r="1078" spans="17:22" x14ac:dyDescent="0.25">
      <c r="Q1078"/>
      <c r="V1078" s="2"/>
    </row>
    <row r="1079" spans="17:22" x14ac:dyDescent="0.25">
      <c r="Q1079"/>
      <c r="V1079" s="2"/>
    </row>
    <row r="1080" spans="17:22" x14ac:dyDescent="0.25">
      <c r="Q1080"/>
      <c r="V1080" s="2"/>
    </row>
    <row r="1081" spans="17:22" x14ac:dyDescent="0.25">
      <c r="Q1081"/>
      <c r="V1081" s="2"/>
    </row>
    <row r="1082" spans="17:22" x14ac:dyDescent="0.25">
      <c r="Q1082"/>
      <c r="V1082" s="2"/>
    </row>
    <row r="1083" spans="17:22" x14ac:dyDescent="0.25">
      <c r="Q1083"/>
      <c r="V1083" s="2"/>
    </row>
    <row r="1084" spans="17:22" x14ac:dyDescent="0.25">
      <c r="Q1084"/>
      <c r="V1084" s="2"/>
    </row>
    <row r="1085" spans="17:22" x14ac:dyDescent="0.25">
      <c r="Q1085"/>
      <c r="V1085" s="2"/>
    </row>
    <row r="1086" spans="17:22" x14ac:dyDescent="0.25">
      <c r="Q1086"/>
      <c r="V1086" s="2"/>
    </row>
    <row r="1087" spans="17:22" x14ac:dyDescent="0.25">
      <c r="Q1087"/>
      <c r="V1087" s="2"/>
    </row>
    <row r="1088" spans="17:22" x14ac:dyDescent="0.25">
      <c r="Q1088"/>
      <c r="V1088" s="2"/>
    </row>
    <row r="1089" spans="17:22" x14ac:dyDescent="0.25">
      <c r="Q1089"/>
      <c r="V1089" s="2"/>
    </row>
    <row r="1090" spans="17:22" x14ac:dyDescent="0.25">
      <c r="Q1090"/>
      <c r="V1090" s="2"/>
    </row>
    <row r="1091" spans="17:22" x14ac:dyDescent="0.25">
      <c r="Q1091"/>
      <c r="V1091" s="2"/>
    </row>
    <row r="1092" spans="17:22" x14ac:dyDescent="0.25">
      <c r="Q1092"/>
      <c r="V1092" s="2"/>
    </row>
    <row r="1093" spans="17:22" x14ac:dyDescent="0.25">
      <c r="Q1093"/>
      <c r="V1093" s="2"/>
    </row>
    <row r="1094" spans="17:22" x14ac:dyDescent="0.25">
      <c r="Q1094"/>
      <c r="V1094" s="2"/>
    </row>
    <row r="1095" spans="17:22" x14ac:dyDescent="0.25">
      <c r="Q1095"/>
      <c r="V1095" s="2"/>
    </row>
    <row r="1096" spans="17:22" x14ac:dyDescent="0.25">
      <c r="Q1096"/>
      <c r="V1096" s="2"/>
    </row>
    <row r="1097" spans="17:22" x14ac:dyDescent="0.25">
      <c r="Q1097"/>
      <c r="V1097" s="2"/>
    </row>
    <row r="1098" spans="17:22" x14ac:dyDescent="0.25">
      <c r="Q1098"/>
      <c r="V1098" s="2"/>
    </row>
    <row r="1099" spans="17:22" x14ac:dyDescent="0.25">
      <c r="Q1099"/>
      <c r="V1099" s="2"/>
    </row>
    <row r="1100" spans="17:22" x14ac:dyDescent="0.25">
      <c r="Q1100"/>
      <c r="V1100" s="2"/>
    </row>
    <row r="1101" spans="17:22" x14ac:dyDescent="0.25">
      <c r="Q1101"/>
      <c r="V1101" s="2"/>
    </row>
    <row r="1102" spans="17:22" x14ac:dyDescent="0.25">
      <c r="Q1102"/>
      <c r="V1102" s="2"/>
    </row>
    <row r="1103" spans="17:22" x14ac:dyDescent="0.25">
      <c r="Q1103"/>
      <c r="V1103" s="2"/>
    </row>
    <row r="1104" spans="17:22" x14ac:dyDescent="0.25">
      <c r="Q1104"/>
      <c r="V1104" s="2"/>
    </row>
    <row r="1105" spans="17:22" x14ac:dyDescent="0.25">
      <c r="Q1105"/>
      <c r="V1105" s="2"/>
    </row>
    <row r="1106" spans="17:22" x14ac:dyDescent="0.25">
      <c r="Q1106"/>
      <c r="V1106" s="2"/>
    </row>
    <row r="1107" spans="17:22" x14ac:dyDescent="0.25">
      <c r="Q1107"/>
      <c r="V1107" s="2"/>
    </row>
    <row r="1108" spans="17:22" x14ac:dyDescent="0.25">
      <c r="Q1108"/>
      <c r="V1108" s="2"/>
    </row>
    <row r="1109" spans="17:22" x14ac:dyDescent="0.25">
      <c r="Q1109"/>
      <c r="V1109" s="2"/>
    </row>
    <row r="1110" spans="17:22" x14ac:dyDescent="0.25">
      <c r="Q1110"/>
      <c r="V1110" s="2"/>
    </row>
    <row r="1111" spans="17:22" x14ac:dyDescent="0.25">
      <c r="Q1111"/>
      <c r="V1111" s="2"/>
    </row>
    <row r="1112" spans="17:22" x14ac:dyDescent="0.25">
      <c r="Q1112"/>
      <c r="V1112" s="2"/>
    </row>
    <row r="1113" spans="17:22" x14ac:dyDescent="0.25">
      <c r="Q1113"/>
      <c r="V1113" s="2"/>
    </row>
    <row r="1114" spans="17:22" x14ac:dyDescent="0.25">
      <c r="Q1114"/>
      <c r="V1114" s="2"/>
    </row>
    <row r="1115" spans="17:22" x14ac:dyDescent="0.25">
      <c r="Q1115"/>
      <c r="V1115" s="2"/>
    </row>
    <row r="1116" spans="17:22" x14ac:dyDescent="0.25">
      <c r="Q1116"/>
      <c r="V1116" s="2"/>
    </row>
    <row r="1117" spans="17:22" x14ac:dyDescent="0.25">
      <c r="Q1117"/>
      <c r="V1117" s="2"/>
    </row>
    <row r="1118" spans="17:22" x14ac:dyDescent="0.25">
      <c r="Q1118"/>
      <c r="V1118" s="2"/>
    </row>
    <row r="1119" spans="17:22" x14ac:dyDescent="0.25">
      <c r="Q1119"/>
      <c r="V1119" s="2"/>
    </row>
    <row r="1120" spans="17:22" x14ac:dyDescent="0.25">
      <c r="Q1120"/>
      <c r="V1120" s="2"/>
    </row>
    <row r="1121" spans="17:22" x14ac:dyDescent="0.25">
      <c r="Q1121"/>
      <c r="V1121" s="2"/>
    </row>
    <row r="1122" spans="17:22" x14ac:dyDescent="0.25">
      <c r="Q1122"/>
      <c r="V1122" s="2"/>
    </row>
    <row r="1123" spans="17:22" x14ac:dyDescent="0.25">
      <c r="Q1123"/>
      <c r="V1123" s="2"/>
    </row>
    <row r="1124" spans="17:22" x14ac:dyDescent="0.25">
      <c r="Q1124"/>
      <c r="V1124" s="2"/>
    </row>
    <row r="1125" spans="17:22" x14ac:dyDescent="0.25">
      <c r="Q1125"/>
      <c r="V1125" s="2"/>
    </row>
    <row r="1126" spans="17:22" x14ac:dyDescent="0.25">
      <c r="Q1126"/>
      <c r="V1126" s="2"/>
    </row>
    <row r="1127" spans="17:22" x14ac:dyDescent="0.25">
      <c r="Q1127"/>
      <c r="V1127" s="2"/>
    </row>
    <row r="1128" spans="17:22" x14ac:dyDescent="0.25">
      <c r="Q1128"/>
      <c r="V1128" s="2"/>
    </row>
    <row r="1129" spans="17:22" x14ac:dyDescent="0.25">
      <c r="Q1129"/>
      <c r="V1129" s="2"/>
    </row>
    <row r="1130" spans="17:22" x14ac:dyDescent="0.25">
      <c r="Q1130"/>
      <c r="V1130" s="2"/>
    </row>
    <row r="1131" spans="17:22" x14ac:dyDescent="0.25">
      <c r="Q1131"/>
      <c r="V1131" s="2"/>
    </row>
    <row r="1132" spans="17:22" x14ac:dyDescent="0.25">
      <c r="Q1132"/>
      <c r="V1132" s="2"/>
    </row>
    <row r="1133" spans="17:22" x14ac:dyDescent="0.25">
      <c r="Q1133"/>
      <c r="V1133" s="2"/>
    </row>
    <row r="1134" spans="17:22" x14ac:dyDescent="0.25">
      <c r="Q1134"/>
      <c r="V1134" s="2"/>
    </row>
    <row r="1135" spans="17:22" x14ac:dyDescent="0.25">
      <c r="Q1135"/>
      <c r="V1135" s="2"/>
    </row>
    <row r="1136" spans="17:22" x14ac:dyDescent="0.25">
      <c r="Q1136"/>
      <c r="V1136" s="2"/>
    </row>
    <row r="1137" spans="17:22" x14ac:dyDescent="0.25">
      <c r="Q1137"/>
      <c r="V1137" s="2"/>
    </row>
    <row r="1138" spans="17:22" x14ac:dyDescent="0.25">
      <c r="Q1138"/>
      <c r="V1138" s="2"/>
    </row>
    <row r="1139" spans="17:22" x14ac:dyDescent="0.25">
      <c r="Q1139"/>
      <c r="V1139" s="2"/>
    </row>
    <row r="1140" spans="17:22" x14ac:dyDescent="0.25">
      <c r="Q1140"/>
      <c r="V1140" s="2"/>
    </row>
    <row r="1141" spans="17:22" x14ac:dyDescent="0.25">
      <c r="Q1141"/>
      <c r="V1141" s="2"/>
    </row>
    <row r="1142" spans="17:22" x14ac:dyDescent="0.25">
      <c r="Q1142"/>
      <c r="V1142" s="2"/>
    </row>
    <row r="1143" spans="17:22" x14ac:dyDescent="0.25">
      <c r="Q1143"/>
      <c r="V1143" s="2"/>
    </row>
    <row r="1144" spans="17:22" x14ac:dyDescent="0.25">
      <c r="Q1144"/>
      <c r="V1144" s="2"/>
    </row>
    <row r="1145" spans="17:22" x14ac:dyDescent="0.25">
      <c r="Q1145"/>
      <c r="V1145" s="2"/>
    </row>
    <row r="1146" spans="17:22" x14ac:dyDescent="0.25">
      <c r="Q1146"/>
      <c r="V1146" s="2"/>
    </row>
    <row r="1147" spans="17:22" x14ac:dyDescent="0.25">
      <c r="Q1147"/>
      <c r="V1147" s="2"/>
    </row>
    <row r="1148" spans="17:22" x14ac:dyDescent="0.25">
      <c r="Q1148"/>
      <c r="V1148" s="2"/>
    </row>
    <row r="1149" spans="17:22" x14ac:dyDescent="0.25">
      <c r="Q1149"/>
      <c r="V1149" s="2"/>
    </row>
    <row r="1150" spans="17:22" x14ac:dyDescent="0.25">
      <c r="Q1150"/>
      <c r="V1150" s="2"/>
    </row>
    <row r="1151" spans="17:22" x14ac:dyDescent="0.25">
      <c r="Q1151"/>
      <c r="V1151" s="2"/>
    </row>
    <row r="1152" spans="17:22" x14ac:dyDescent="0.25">
      <c r="Q1152"/>
      <c r="V1152" s="2"/>
    </row>
    <row r="1153" spans="17:22" x14ac:dyDescent="0.25">
      <c r="Q1153"/>
      <c r="V1153" s="2"/>
    </row>
    <row r="1154" spans="17:22" x14ac:dyDescent="0.25">
      <c r="Q1154"/>
      <c r="V1154" s="2"/>
    </row>
    <row r="1155" spans="17:22" x14ac:dyDescent="0.25">
      <c r="Q1155"/>
      <c r="V1155" s="2"/>
    </row>
    <row r="1156" spans="17:22" x14ac:dyDescent="0.25">
      <c r="Q1156"/>
      <c r="V1156" s="2"/>
    </row>
    <row r="1157" spans="17:22" x14ac:dyDescent="0.25">
      <c r="Q1157"/>
      <c r="V1157" s="2"/>
    </row>
    <row r="1158" spans="17:22" x14ac:dyDescent="0.25">
      <c r="Q1158"/>
      <c r="V1158" s="2"/>
    </row>
    <row r="1159" spans="17:22" x14ac:dyDescent="0.25">
      <c r="Q1159"/>
      <c r="V1159" s="2"/>
    </row>
    <row r="1160" spans="17:22" x14ac:dyDescent="0.25">
      <c r="Q1160"/>
      <c r="V1160" s="2"/>
    </row>
    <row r="1161" spans="17:22" x14ac:dyDescent="0.25">
      <c r="Q1161"/>
      <c r="V1161" s="2"/>
    </row>
    <row r="1162" spans="17:22" x14ac:dyDescent="0.25">
      <c r="Q1162"/>
      <c r="V1162" s="2"/>
    </row>
    <row r="1163" spans="17:22" x14ac:dyDescent="0.25">
      <c r="Q1163"/>
      <c r="V1163" s="2"/>
    </row>
    <row r="1164" spans="17:22" x14ac:dyDescent="0.25">
      <c r="Q1164"/>
      <c r="V1164" s="2"/>
    </row>
    <row r="1165" spans="17:22" x14ac:dyDescent="0.25">
      <c r="Q1165"/>
      <c r="V1165" s="2"/>
    </row>
    <row r="1166" spans="17:22" x14ac:dyDescent="0.25">
      <c r="Q1166"/>
      <c r="V1166" s="2"/>
    </row>
    <row r="1167" spans="17:22" x14ac:dyDescent="0.25">
      <c r="Q1167"/>
      <c r="V1167" s="2"/>
    </row>
    <row r="1168" spans="17:22" x14ac:dyDescent="0.25">
      <c r="Q1168"/>
      <c r="V1168" s="2"/>
    </row>
    <row r="1169" spans="17:22" x14ac:dyDescent="0.25">
      <c r="Q1169"/>
      <c r="V1169" s="2"/>
    </row>
    <row r="1170" spans="17:22" x14ac:dyDescent="0.25">
      <c r="Q1170"/>
      <c r="V1170" s="2"/>
    </row>
    <row r="1171" spans="17:22" x14ac:dyDescent="0.25">
      <c r="Q1171"/>
      <c r="V1171" s="2"/>
    </row>
    <row r="1172" spans="17:22" x14ac:dyDescent="0.25">
      <c r="Q1172"/>
      <c r="V1172" s="2"/>
    </row>
    <row r="1173" spans="17:22" x14ac:dyDescent="0.25">
      <c r="Q1173"/>
      <c r="V1173" s="2"/>
    </row>
    <row r="1174" spans="17:22" x14ac:dyDescent="0.25">
      <c r="Q1174"/>
      <c r="V1174" s="2"/>
    </row>
    <row r="1175" spans="17:22" x14ac:dyDescent="0.25">
      <c r="Q1175"/>
      <c r="V1175" s="2"/>
    </row>
    <row r="1176" spans="17:22" x14ac:dyDescent="0.25">
      <c r="Q1176"/>
      <c r="V1176" s="2"/>
    </row>
    <row r="1177" spans="17:22" x14ac:dyDescent="0.25">
      <c r="Q1177"/>
      <c r="V1177" s="2"/>
    </row>
    <row r="1178" spans="17:22" x14ac:dyDescent="0.25">
      <c r="Q1178"/>
      <c r="V1178" s="2"/>
    </row>
    <row r="1179" spans="17:22" x14ac:dyDescent="0.25">
      <c r="Q1179"/>
      <c r="V1179" s="2"/>
    </row>
    <row r="1180" spans="17:22" x14ac:dyDescent="0.25">
      <c r="Q1180"/>
      <c r="V1180" s="2"/>
    </row>
    <row r="1181" spans="17:22" x14ac:dyDescent="0.25">
      <c r="Q1181"/>
      <c r="V1181" s="2"/>
    </row>
    <row r="1182" spans="17:22" x14ac:dyDescent="0.25">
      <c r="Q1182"/>
      <c r="V1182" s="2"/>
    </row>
    <row r="1183" spans="17:22" x14ac:dyDescent="0.25">
      <c r="Q1183"/>
      <c r="V1183" s="2"/>
    </row>
    <row r="1184" spans="17:22" x14ac:dyDescent="0.25">
      <c r="Q1184"/>
      <c r="V1184" s="2"/>
    </row>
    <row r="1185" spans="17:22" x14ac:dyDescent="0.25">
      <c r="Q1185"/>
      <c r="V1185" s="2"/>
    </row>
    <row r="1186" spans="17:22" x14ac:dyDescent="0.25">
      <c r="Q1186"/>
      <c r="V1186" s="2"/>
    </row>
    <row r="1187" spans="17:22" x14ac:dyDescent="0.25">
      <c r="Q1187"/>
      <c r="V1187" s="2"/>
    </row>
    <row r="1188" spans="17:22" x14ac:dyDescent="0.25">
      <c r="Q1188"/>
      <c r="V1188" s="2"/>
    </row>
    <row r="1189" spans="17:22" x14ac:dyDescent="0.25">
      <c r="Q1189"/>
      <c r="V1189" s="2"/>
    </row>
    <row r="1190" spans="17:22" x14ac:dyDescent="0.25">
      <c r="Q1190"/>
      <c r="V1190" s="2"/>
    </row>
    <row r="1191" spans="17:22" x14ac:dyDescent="0.25">
      <c r="Q1191"/>
      <c r="V1191" s="2"/>
    </row>
    <row r="1192" spans="17:22" x14ac:dyDescent="0.25">
      <c r="Q1192"/>
      <c r="V1192" s="2"/>
    </row>
    <row r="1193" spans="17:22" x14ac:dyDescent="0.25">
      <c r="Q1193"/>
      <c r="V1193" s="2"/>
    </row>
    <row r="1194" spans="17:22" x14ac:dyDescent="0.25">
      <c r="Q1194"/>
      <c r="V1194" s="2"/>
    </row>
    <row r="1195" spans="17:22" x14ac:dyDescent="0.25">
      <c r="Q1195"/>
      <c r="V1195" s="2"/>
    </row>
    <row r="1196" spans="17:22" x14ac:dyDescent="0.25">
      <c r="Q1196"/>
      <c r="V1196" s="2"/>
    </row>
    <row r="1197" spans="17:22" x14ac:dyDescent="0.25">
      <c r="Q1197"/>
      <c r="V1197" s="2"/>
    </row>
    <row r="1198" spans="17:22" x14ac:dyDescent="0.25">
      <c r="Q1198"/>
      <c r="V1198" s="2"/>
    </row>
    <row r="1199" spans="17:22" x14ac:dyDescent="0.25">
      <c r="Q1199"/>
      <c r="V1199" s="2"/>
    </row>
    <row r="1200" spans="17:22" x14ac:dyDescent="0.25">
      <c r="Q1200"/>
      <c r="V1200" s="2"/>
    </row>
    <row r="1201" spans="17:22" x14ac:dyDescent="0.25">
      <c r="Q1201"/>
      <c r="V1201" s="2"/>
    </row>
    <row r="1202" spans="17:22" x14ac:dyDescent="0.25">
      <c r="Q1202"/>
      <c r="V1202" s="2"/>
    </row>
    <row r="1203" spans="17:22" x14ac:dyDescent="0.25">
      <c r="Q1203"/>
      <c r="V1203" s="2"/>
    </row>
    <row r="1204" spans="17:22" x14ac:dyDescent="0.25">
      <c r="Q1204"/>
      <c r="V1204" s="2"/>
    </row>
    <row r="1205" spans="17:22" x14ac:dyDescent="0.25">
      <c r="Q1205"/>
      <c r="V1205" s="2"/>
    </row>
    <row r="1206" spans="17:22" x14ac:dyDescent="0.25">
      <c r="Q1206"/>
      <c r="V1206" s="2"/>
    </row>
    <row r="1207" spans="17:22" x14ac:dyDescent="0.25">
      <c r="Q1207"/>
      <c r="V1207" s="2"/>
    </row>
    <row r="1208" spans="17:22" x14ac:dyDescent="0.25">
      <c r="Q1208"/>
      <c r="V1208" s="2"/>
    </row>
    <row r="1209" spans="17:22" x14ac:dyDescent="0.25">
      <c r="Q1209"/>
      <c r="V1209" s="2"/>
    </row>
    <row r="1210" spans="17:22" x14ac:dyDescent="0.25">
      <c r="Q1210"/>
      <c r="V1210" s="2"/>
    </row>
    <row r="1211" spans="17:22" x14ac:dyDescent="0.25">
      <c r="Q1211"/>
      <c r="V1211" s="2"/>
    </row>
    <row r="1212" spans="17:22" x14ac:dyDescent="0.25">
      <c r="Q1212"/>
      <c r="V1212" s="2"/>
    </row>
    <row r="1213" spans="17:22" x14ac:dyDescent="0.25">
      <c r="Q1213"/>
      <c r="V1213" s="2"/>
    </row>
    <row r="1214" spans="17:22" x14ac:dyDescent="0.25">
      <c r="Q1214"/>
      <c r="V1214" s="2"/>
    </row>
    <row r="1215" spans="17:22" x14ac:dyDescent="0.25">
      <c r="Q1215"/>
      <c r="V1215" s="2"/>
    </row>
    <row r="1216" spans="17:22" x14ac:dyDescent="0.25">
      <c r="Q1216"/>
      <c r="V1216" s="2"/>
    </row>
    <row r="1217" spans="17:22" x14ac:dyDescent="0.25">
      <c r="Q1217"/>
      <c r="V1217" s="2"/>
    </row>
    <row r="1218" spans="17:22" x14ac:dyDescent="0.25">
      <c r="Q1218"/>
      <c r="V1218" s="2"/>
    </row>
    <row r="1219" spans="17:22" x14ac:dyDescent="0.25">
      <c r="Q1219"/>
      <c r="V1219" s="2"/>
    </row>
    <row r="1220" spans="17:22" x14ac:dyDescent="0.25">
      <c r="Q1220"/>
      <c r="V1220" s="2"/>
    </row>
    <row r="1221" spans="17:22" x14ac:dyDescent="0.25">
      <c r="Q1221"/>
      <c r="V1221" s="2"/>
    </row>
    <row r="1222" spans="17:22" x14ac:dyDescent="0.25">
      <c r="Q1222"/>
      <c r="V1222" s="2"/>
    </row>
    <row r="1223" spans="17:22" x14ac:dyDescent="0.25">
      <c r="Q1223"/>
      <c r="V1223" s="2"/>
    </row>
    <row r="1224" spans="17:22" x14ac:dyDescent="0.25">
      <c r="Q1224"/>
      <c r="V1224" s="2"/>
    </row>
    <row r="1225" spans="17:22" x14ac:dyDescent="0.25">
      <c r="Q1225"/>
      <c r="V1225" s="2"/>
    </row>
    <row r="1226" spans="17:22" x14ac:dyDescent="0.25">
      <c r="Q1226"/>
      <c r="V1226" s="2"/>
    </row>
    <row r="1227" spans="17:22" x14ac:dyDescent="0.25">
      <c r="Q1227"/>
      <c r="V1227" s="2"/>
    </row>
    <row r="1228" spans="17:22" x14ac:dyDescent="0.25">
      <c r="Q1228"/>
      <c r="V1228" s="2"/>
    </row>
    <row r="1229" spans="17:22" x14ac:dyDescent="0.25">
      <c r="Q1229"/>
      <c r="V1229" s="2"/>
    </row>
    <row r="1230" spans="17:22" x14ac:dyDescent="0.25">
      <c r="Q1230"/>
      <c r="V1230" s="2"/>
    </row>
    <row r="1231" spans="17:22" x14ac:dyDescent="0.25">
      <c r="Q1231"/>
      <c r="V1231" s="2"/>
    </row>
    <row r="1232" spans="17:22" x14ac:dyDescent="0.25">
      <c r="Q1232"/>
      <c r="V1232" s="2"/>
    </row>
    <row r="1233" spans="17:22" x14ac:dyDescent="0.25">
      <c r="Q1233"/>
      <c r="V1233" s="2"/>
    </row>
    <row r="1234" spans="17:22" x14ac:dyDescent="0.25">
      <c r="Q1234"/>
      <c r="V1234" s="2"/>
    </row>
    <row r="1235" spans="17:22" x14ac:dyDescent="0.25">
      <c r="Q1235"/>
      <c r="V1235" s="2"/>
    </row>
    <row r="1236" spans="17:22" x14ac:dyDescent="0.25">
      <c r="Q1236"/>
      <c r="V1236" s="2"/>
    </row>
    <row r="1237" spans="17:22" x14ac:dyDescent="0.25">
      <c r="Q1237"/>
      <c r="V1237" s="2"/>
    </row>
    <row r="1238" spans="17:22" x14ac:dyDescent="0.25">
      <c r="Q1238"/>
      <c r="V1238" s="2"/>
    </row>
    <row r="1239" spans="17:22" x14ac:dyDescent="0.25">
      <c r="Q1239"/>
      <c r="V1239" s="2"/>
    </row>
    <row r="1240" spans="17:22" x14ac:dyDescent="0.25">
      <c r="Q1240"/>
      <c r="V1240" s="2"/>
    </row>
    <row r="1241" spans="17:22" x14ac:dyDescent="0.25">
      <c r="Q1241"/>
      <c r="V1241" s="2"/>
    </row>
    <row r="1242" spans="17:22" x14ac:dyDescent="0.25">
      <c r="Q1242"/>
      <c r="V1242" s="2"/>
    </row>
    <row r="1243" spans="17:22" x14ac:dyDescent="0.25">
      <c r="Q1243"/>
      <c r="V1243" s="2"/>
    </row>
    <row r="1244" spans="17:22" x14ac:dyDescent="0.25">
      <c r="Q1244"/>
      <c r="V1244" s="2"/>
    </row>
    <row r="1245" spans="17:22" x14ac:dyDescent="0.25">
      <c r="Q1245"/>
      <c r="V1245" s="2"/>
    </row>
    <row r="1246" spans="17:22" x14ac:dyDescent="0.25">
      <c r="Q1246"/>
      <c r="V1246" s="2"/>
    </row>
    <row r="1247" spans="17:22" x14ac:dyDescent="0.25">
      <c r="Q1247"/>
      <c r="V1247" s="2"/>
    </row>
    <row r="1248" spans="17:22" x14ac:dyDescent="0.25">
      <c r="Q1248"/>
      <c r="V1248" s="2"/>
    </row>
    <row r="1249" spans="17:22" x14ac:dyDescent="0.25">
      <c r="Q1249"/>
      <c r="V1249" s="2"/>
    </row>
    <row r="1250" spans="17:22" x14ac:dyDescent="0.25">
      <c r="Q1250"/>
      <c r="V1250" s="2"/>
    </row>
    <row r="1251" spans="17:22" x14ac:dyDescent="0.25">
      <c r="Q1251"/>
      <c r="V1251" s="2"/>
    </row>
    <row r="1252" spans="17:22" x14ac:dyDescent="0.25">
      <c r="Q1252"/>
      <c r="V1252" s="2"/>
    </row>
    <row r="1253" spans="17:22" x14ac:dyDescent="0.25">
      <c r="Q1253"/>
      <c r="V1253" s="2"/>
    </row>
    <row r="1254" spans="17:22" x14ac:dyDescent="0.25">
      <c r="Q1254"/>
      <c r="V1254" s="2"/>
    </row>
    <row r="1255" spans="17:22" x14ac:dyDescent="0.25">
      <c r="Q1255"/>
      <c r="V1255" s="2"/>
    </row>
    <row r="1256" spans="17:22" x14ac:dyDescent="0.25">
      <c r="Q1256"/>
      <c r="V1256" s="2"/>
    </row>
    <row r="1257" spans="17:22" x14ac:dyDescent="0.25">
      <c r="Q1257"/>
      <c r="V1257" s="2"/>
    </row>
    <row r="1258" spans="17:22" x14ac:dyDescent="0.25">
      <c r="Q1258"/>
      <c r="V1258" s="2"/>
    </row>
    <row r="1259" spans="17:22" x14ac:dyDescent="0.25">
      <c r="Q1259"/>
      <c r="V1259" s="2"/>
    </row>
    <row r="1260" spans="17:22" x14ac:dyDescent="0.25">
      <c r="Q1260"/>
      <c r="V1260" s="2"/>
    </row>
    <row r="1261" spans="17:22" x14ac:dyDescent="0.25">
      <c r="Q1261"/>
      <c r="V1261" s="2"/>
    </row>
    <row r="1262" spans="17:22" x14ac:dyDescent="0.25">
      <c r="Q1262"/>
      <c r="V1262" s="2"/>
    </row>
    <row r="1263" spans="17:22" x14ac:dyDescent="0.25">
      <c r="Q1263"/>
      <c r="V1263" s="2"/>
    </row>
    <row r="1264" spans="17:22" x14ac:dyDescent="0.25">
      <c r="Q1264"/>
      <c r="V1264" s="2"/>
    </row>
    <row r="1265" spans="17:22" x14ac:dyDescent="0.25">
      <c r="Q1265"/>
      <c r="V1265" s="2"/>
    </row>
    <row r="1266" spans="17:22" x14ac:dyDescent="0.25">
      <c r="Q1266"/>
      <c r="V1266" s="2"/>
    </row>
    <row r="1267" spans="17:22" x14ac:dyDescent="0.25">
      <c r="Q1267"/>
      <c r="V1267" s="2"/>
    </row>
    <row r="1268" spans="17:22" x14ac:dyDescent="0.25">
      <c r="Q1268"/>
      <c r="V1268" s="2"/>
    </row>
    <row r="1269" spans="17:22" x14ac:dyDescent="0.25">
      <c r="Q1269"/>
      <c r="V1269" s="2"/>
    </row>
    <row r="1270" spans="17:22" x14ac:dyDescent="0.25">
      <c r="Q1270"/>
      <c r="V1270" s="2"/>
    </row>
    <row r="1271" spans="17:22" x14ac:dyDescent="0.25">
      <c r="Q1271"/>
      <c r="V1271" s="2"/>
    </row>
    <row r="1272" spans="17:22" x14ac:dyDescent="0.25">
      <c r="Q1272"/>
      <c r="V1272" s="2"/>
    </row>
    <row r="1273" spans="17:22" x14ac:dyDescent="0.25">
      <c r="Q1273"/>
      <c r="V1273" s="2"/>
    </row>
    <row r="1274" spans="17:22" x14ac:dyDescent="0.25">
      <c r="Q1274"/>
      <c r="V1274" s="2"/>
    </row>
    <row r="1275" spans="17:22" x14ac:dyDescent="0.25">
      <c r="Q1275"/>
      <c r="V1275" s="2"/>
    </row>
    <row r="1276" spans="17:22" x14ac:dyDescent="0.25">
      <c r="Q1276"/>
      <c r="V1276" s="2"/>
    </row>
    <row r="1277" spans="17:22" x14ac:dyDescent="0.25">
      <c r="Q1277"/>
      <c r="V1277" s="2"/>
    </row>
    <row r="1278" spans="17:22" x14ac:dyDescent="0.25">
      <c r="Q1278"/>
      <c r="V1278" s="2"/>
    </row>
    <row r="1279" spans="17:22" x14ac:dyDescent="0.25">
      <c r="Q1279"/>
      <c r="V1279" s="2"/>
    </row>
    <row r="1280" spans="17:22" x14ac:dyDescent="0.25">
      <c r="Q1280"/>
      <c r="V1280" s="2"/>
    </row>
    <row r="1281" spans="17:22" x14ac:dyDescent="0.25">
      <c r="Q1281"/>
      <c r="V1281" s="2"/>
    </row>
    <row r="1282" spans="17:22" x14ac:dyDescent="0.25">
      <c r="Q1282"/>
      <c r="V1282" s="2"/>
    </row>
    <row r="1283" spans="17:22" x14ac:dyDescent="0.25">
      <c r="Q1283"/>
      <c r="V1283" s="2"/>
    </row>
    <row r="1284" spans="17:22" x14ac:dyDescent="0.25">
      <c r="Q1284"/>
      <c r="V1284" s="2"/>
    </row>
    <row r="1285" spans="17:22" x14ac:dyDescent="0.25">
      <c r="Q1285"/>
      <c r="V1285" s="2"/>
    </row>
    <row r="1286" spans="17:22" x14ac:dyDescent="0.25">
      <c r="Q1286"/>
      <c r="V1286" s="2"/>
    </row>
    <row r="1287" spans="17:22" x14ac:dyDescent="0.25">
      <c r="Q1287"/>
      <c r="V1287" s="2"/>
    </row>
    <row r="1288" spans="17:22" x14ac:dyDescent="0.25">
      <c r="Q1288"/>
      <c r="V1288" s="2"/>
    </row>
    <row r="1289" spans="17:22" x14ac:dyDescent="0.25">
      <c r="Q1289"/>
      <c r="V1289" s="2"/>
    </row>
    <row r="1290" spans="17:22" x14ac:dyDescent="0.25">
      <c r="Q1290"/>
      <c r="V1290" s="2"/>
    </row>
    <row r="1291" spans="17:22" x14ac:dyDescent="0.25">
      <c r="Q1291"/>
      <c r="V1291" s="2"/>
    </row>
    <row r="1292" spans="17:22" x14ac:dyDescent="0.25">
      <c r="Q1292"/>
      <c r="V1292" s="2"/>
    </row>
    <row r="1293" spans="17:22" x14ac:dyDescent="0.25">
      <c r="Q1293"/>
      <c r="V1293" s="2"/>
    </row>
    <row r="1294" spans="17:22" x14ac:dyDescent="0.25">
      <c r="Q1294"/>
      <c r="V1294" s="2"/>
    </row>
    <row r="1295" spans="17:22" x14ac:dyDescent="0.25">
      <c r="Q1295"/>
      <c r="V1295" s="2"/>
    </row>
    <row r="1296" spans="17:22" x14ac:dyDescent="0.25">
      <c r="Q1296"/>
      <c r="V1296" s="2"/>
    </row>
    <row r="1297" spans="17:22" x14ac:dyDescent="0.25">
      <c r="Q1297"/>
      <c r="V1297" s="2"/>
    </row>
    <row r="1298" spans="17:22" x14ac:dyDescent="0.25">
      <c r="Q1298"/>
      <c r="V1298" s="2"/>
    </row>
    <row r="1299" spans="17:22" x14ac:dyDescent="0.25">
      <c r="Q1299"/>
      <c r="V1299" s="2"/>
    </row>
    <row r="1300" spans="17:22" x14ac:dyDescent="0.25">
      <c r="Q1300"/>
      <c r="V1300" s="2"/>
    </row>
    <row r="1301" spans="17:22" x14ac:dyDescent="0.25">
      <c r="Q1301"/>
      <c r="V1301" s="2"/>
    </row>
    <row r="1302" spans="17:22" x14ac:dyDescent="0.25">
      <c r="Q1302"/>
      <c r="V1302" s="2"/>
    </row>
    <row r="1303" spans="17:22" x14ac:dyDescent="0.25">
      <c r="Q1303"/>
      <c r="V1303" s="2"/>
    </row>
    <row r="1304" spans="17:22" x14ac:dyDescent="0.25">
      <c r="Q1304"/>
      <c r="V1304" s="2"/>
    </row>
    <row r="1305" spans="17:22" x14ac:dyDescent="0.25">
      <c r="Q1305"/>
      <c r="V1305" s="2"/>
    </row>
    <row r="1306" spans="17:22" x14ac:dyDescent="0.25">
      <c r="Q1306"/>
      <c r="V1306" s="2"/>
    </row>
    <row r="1307" spans="17:22" x14ac:dyDescent="0.25">
      <c r="Q1307"/>
      <c r="V1307" s="2"/>
    </row>
    <row r="1308" spans="17:22" x14ac:dyDescent="0.25">
      <c r="Q1308"/>
      <c r="V1308" s="2"/>
    </row>
    <row r="1309" spans="17:22" x14ac:dyDescent="0.25">
      <c r="Q1309"/>
      <c r="V1309" s="2"/>
    </row>
    <row r="1310" spans="17:22" x14ac:dyDescent="0.25">
      <c r="Q1310"/>
      <c r="V1310" s="2"/>
    </row>
    <row r="1311" spans="17:22" x14ac:dyDescent="0.25">
      <c r="Q1311"/>
      <c r="V1311" s="2"/>
    </row>
    <row r="1312" spans="17:22" x14ac:dyDescent="0.25">
      <c r="Q1312"/>
      <c r="V1312" s="2"/>
    </row>
    <row r="1313" spans="17:22" x14ac:dyDescent="0.25">
      <c r="Q1313"/>
      <c r="V1313" s="2"/>
    </row>
    <row r="1314" spans="17:22" x14ac:dyDescent="0.25">
      <c r="Q1314"/>
      <c r="V1314" s="2"/>
    </row>
    <row r="1315" spans="17:22" x14ac:dyDescent="0.25">
      <c r="Q1315"/>
      <c r="V1315" s="2"/>
    </row>
    <row r="1316" spans="17:22" x14ac:dyDescent="0.25">
      <c r="Q1316"/>
      <c r="V1316" s="2"/>
    </row>
    <row r="1317" spans="17:22" x14ac:dyDescent="0.25">
      <c r="Q1317"/>
      <c r="V1317" s="2"/>
    </row>
    <row r="1318" spans="17:22" x14ac:dyDescent="0.25">
      <c r="Q1318"/>
      <c r="V1318" s="2"/>
    </row>
    <row r="1319" spans="17:22" x14ac:dyDescent="0.25">
      <c r="Q1319"/>
      <c r="V1319" s="2"/>
    </row>
    <row r="1320" spans="17:22" x14ac:dyDescent="0.25">
      <c r="Q1320"/>
      <c r="V1320" s="2"/>
    </row>
    <row r="1321" spans="17:22" x14ac:dyDescent="0.25">
      <c r="Q1321"/>
      <c r="V1321" s="2"/>
    </row>
    <row r="1322" spans="17:22" x14ac:dyDescent="0.25">
      <c r="Q1322"/>
      <c r="V1322" s="2"/>
    </row>
    <row r="1323" spans="17:22" x14ac:dyDescent="0.25">
      <c r="Q1323"/>
      <c r="V1323" s="2"/>
    </row>
    <row r="1324" spans="17:22" x14ac:dyDescent="0.25">
      <c r="Q1324"/>
      <c r="V1324" s="2"/>
    </row>
    <row r="1325" spans="17:22" x14ac:dyDescent="0.25">
      <c r="Q1325"/>
      <c r="V1325" s="2"/>
    </row>
    <row r="1326" spans="17:22" x14ac:dyDescent="0.25">
      <c r="Q1326"/>
      <c r="V1326" s="2"/>
    </row>
    <row r="1327" spans="17:22" x14ac:dyDescent="0.25">
      <c r="Q1327"/>
      <c r="V1327" s="2"/>
    </row>
    <row r="1328" spans="17:22" x14ac:dyDescent="0.25">
      <c r="Q1328"/>
      <c r="V1328" s="2"/>
    </row>
    <row r="1329" spans="17:22" x14ac:dyDescent="0.25">
      <c r="Q1329"/>
      <c r="V1329" s="2"/>
    </row>
    <row r="1330" spans="17:22" x14ac:dyDescent="0.25">
      <c r="Q1330"/>
      <c r="V1330" s="2"/>
    </row>
    <row r="1331" spans="17:22" x14ac:dyDescent="0.25">
      <c r="Q1331"/>
      <c r="V1331" s="2"/>
    </row>
    <row r="1332" spans="17:22" x14ac:dyDescent="0.25">
      <c r="Q1332"/>
      <c r="V1332" s="2"/>
    </row>
    <row r="1333" spans="17:22" x14ac:dyDescent="0.25">
      <c r="Q1333"/>
      <c r="V1333" s="2"/>
    </row>
    <row r="1334" spans="17:22" x14ac:dyDescent="0.25">
      <c r="Q1334"/>
      <c r="V1334" s="2"/>
    </row>
    <row r="1335" spans="17:22" x14ac:dyDescent="0.25">
      <c r="Q1335"/>
      <c r="V1335" s="2"/>
    </row>
    <row r="1336" spans="17:22" x14ac:dyDescent="0.25">
      <c r="Q1336"/>
      <c r="V1336" s="2"/>
    </row>
    <row r="1337" spans="17:22" x14ac:dyDescent="0.25">
      <c r="Q1337"/>
      <c r="V1337" s="2"/>
    </row>
    <row r="1338" spans="17:22" x14ac:dyDescent="0.25">
      <c r="Q1338"/>
      <c r="V1338" s="2"/>
    </row>
    <row r="1339" spans="17:22" x14ac:dyDescent="0.25">
      <c r="Q1339"/>
      <c r="V1339" s="2"/>
    </row>
    <row r="1340" spans="17:22" x14ac:dyDescent="0.25">
      <c r="Q1340"/>
      <c r="V1340" s="2"/>
    </row>
    <row r="1341" spans="17:22" x14ac:dyDescent="0.25">
      <c r="Q1341"/>
      <c r="V1341" s="2"/>
    </row>
    <row r="1342" spans="17:22" x14ac:dyDescent="0.25">
      <c r="Q1342"/>
      <c r="V1342" s="2"/>
    </row>
    <row r="1343" spans="17:22" x14ac:dyDescent="0.25">
      <c r="Q1343"/>
      <c r="V1343" s="2"/>
    </row>
    <row r="1344" spans="17:22" x14ac:dyDescent="0.25">
      <c r="Q1344"/>
      <c r="V1344" s="2"/>
    </row>
    <row r="1345" spans="17:22" x14ac:dyDescent="0.25">
      <c r="Q1345"/>
      <c r="V1345" s="2"/>
    </row>
    <row r="1346" spans="17:22" x14ac:dyDescent="0.25">
      <c r="Q1346"/>
      <c r="V1346" s="2"/>
    </row>
    <row r="1347" spans="17:22" x14ac:dyDescent="0.25">
      <c r="Q1347"/>
      <c r="V1347" s="2"/>
    </row>
    <row r="1348" spans="17:22" x14ac:dyDescent="0.25">
      <c r="Q1348"/>
      <c r="V1348" s="2"/>
    </row>
    <row r="1349" spans="17:22" x14ac:dyDescent="0.25">
      <c r="Q1349"/>
      <c r="V1349" s="2"/>
    </row>
    <row r="1350" spans="17:22" x14ac:dyDescent="0.25">
      <c r="Q1350"/>
      <c r="V1350" s="2"/>
    </row>
    <row r="1351" spans="17:22" x14ac:dyDescent="0.25">
      <c r="Q1351"/>
      <c r="V1351" s="2"/>
    </row>
    <row r="1352" spans="17:22" x14ac:dyDescent="0.25">
      <c r="Q1352"/>
      <c r="V1352" s="2"/>
    </row>
    <row r="1353" spans="17:22" x14ac:dyDescent="0.25">
      <c r="Q1353"/>
      <c r="V1353" s="2"/>
    </row>
    <row r="1354" spans="17:22" x14ac:dyDescent="0.25">
      <c r="Q1354"/>
      <c r="V1354" s="2"/>
    </row>
    <row r="1355" spans="17:22" x14ac:dyDescent="0.25">
      <c r="Q1355"/>
      <c r="V1355" s="2"/>
    </row>
    <row r="1356" spans="17:22" x14ac:dyDescent="0.25">
      <c r="Q1356"/>
      <c r="V1356" s="2"/>
    </row>
    <row r="1357" spans="17:22" x14ac:dyDescent="0.25">
      <c r="Q1357"/>
      <c r="V1357" s="2"/>
    </row>
    <row r="1358" spans="17:22" x14ac:dyDescent="0.25">
      <c r="Q1358"/>
      <c r="V1358" s="2"/>
    </row>
    <row r="1359" spans="17:22" x14ac:dyDescent="0.25">
      <c r="Q1359"/>
      <c r="V1359" s="2"/>
    </row>
    <row r="1360" spans="17:22" x14ac:dyDescent="0.25">
      <c r="Q1360"/>
      <c r="V1360" s="2"/>
    </row>
    <row r="1361" spans="17:22" x14ac:dyDescent="0.25">
      <c r="Q1361"/>
      <c r="V1361" s="2"/>
    </row>
    <row r="1362" spans="17:22" x14ac:dyDescent="0.25">
      <c r="Q1362"/>
      <c r="V1362" s="2"/>
    </row>
    <row r="1363" spans="17:22" x14ac:dyDescent="0.25">
      <c r="Q1363"/>
      <c r="V1363" s="2"/>
    </row>
    <row r="1364" spans="17:22" x14ac:dyDescent="0.25">
      <c r="Q1364"/>
      <c r="V1364" s="2"/>
    </row>
    <row r="1365" spans="17:22" x14ac:dyDescent="0.25">
      <c r="Q1365"/>
      <c r="V1365" s="2"/>
    </row>
    <row r="1366" spans="17:22" x14ac:dyDescent="0.25">
      <c r="Q1366"/>
      <c r="V1366" s="2"/>
    </row>
    <row r="1367" spans="17:22" x14ac:dyDescent="0.25">
      <c r="Q1367"/>
      <c r="V1367" s="2"/>
    </row>
    <row r="1368" spans="17:22" x14ac:dyDescent="0.25">
      <c r="Q1368"/>
      <c r="V1368" s="2"/>
    </row>
    <row r="1369" spans="17:22" x14ac:dyDescent="0.25">
      <c r="Q1369"/>
      <c r="V1369" s="2"/>
    </row>
    <row r="1370" spans="17:22" x14ac:dyDescent="0.25">
      <c r="Q1370"/>
      <c r="V1370" s="2"/>
    </row>
    <row r="1371" spans="17:22" x14ac:dyDescent="0.25">
      <c r="Q1371"/>
      <c r="V1371" s="2"/>
    </row>
    <row r="1372" spans="17:22" x14ac:dyDescent="0.25">
      <c r="Q1372"/>
      <c r="V1372" s="2"/>
    </row>
    <row r="1373" spans="17:22" x14ac:dyDescent="0.25">
      <c r="Q1373"/>
      <c r="V1373" s="2"/>
    </row>
    <row r="1374" spans="17:22" x14ac:dyDescent="0.25">
      <c r="Q1374"/>
      <c r="V1374" s="2"/>
    </row>
    <row r="1375" spans="17:22" x14ac:dyDescent="0.25">
      <c r="Q1375"/>
      <c r="V1375" s="2"/>
    </row>
    <row r="1376" spans="17:22" x14ac:dyDescent="0.25">
      <c r="Q1376"/>
      <c r="V1376" s="2"/>
    </row>
    <row r="1377" spans="17:22" x14ac:dyDescent="0.25">
      <c r="Q1377"/>
      <c r="V1377" s="2"/>
    </row>
    <row r="1378" spans="17:22" x14ac:dyDescent="0.25">
      <c r="Q1378"/>
      <c r="V1378" s="2"/>
    </row>
    <row r="1379" spans="17:22" x14ac:dyDescent="0.25">
      <c r="Q1379"/>
      <c r="V1379" s="2"/>
    </row>
    <row r="1380" spans="17:22" x14ac:dyDescent="0.25">
      <c r="Q1380"/>
      <c r="V1380" s="2"/>
    </row>
    <row r="1381" spans="17:22" x14ac:dyDescent="0.25">
      <c r="Q1381"/>
      <c r="V1381" s="2"/>
    </row>
    <row r="1382" spans="17:22" x14ac:dyDescent="0.25">
      <c r="Q1382"/>
      <c r="V1382" s="2"/>
    </row>
    <row r="1383" spans="17:22" x14ac:dyDescent="0.25">
      <c r="Q1383"/>
      <c r="V1383" s="2"/>
    </row>
    <row r="1384" spans="17:22" x14ac:dyDescent="0.25">
      <c r="Q1384"/>
      <c r="V1384" s="2"/>
    </row>
    <row r="1385" spans="17:22" x14ac:dyDescent="0.25">
      <c r="Q1385"/>
      <c r="V1385" s="2"/>
    </row>
    <row r="1386" spans="17:22" x14ac:dyDescent="0.25">
      <c r="Q1386"/>
      <c r="V1386" s="2"/>
    </row>
    <row r="1387" spans="17:22" x14ac:dyDescent="0.25">
      <c r="Q1387"/>
      <c r="V1387" s="2"/>
    </row>
    <row r="1388" spans="17:22" x14ac:dyDescent="0.25">
      <c r="Q1388"/>
      <c r="V1388" s="2"/>
    </row>
    <row r="1389" spans="17:22" x14ac:dyDescent="0.25">
      <c r="Q1389"/>
      <c r="V1389" s="2"/>
    </row>
    <row r="1390" spans="17:22" x14ac:dyDescent="0.25">
      <c r="Q1390"/>
      <c r="V1390" s="2"/>
    </row>
    <row r="1391" spans="17:22" x14ac:dyDescent="0.25">
      <c r="Q1391"/>
      <c r="V1391" s="2"/>
    </row>
    <row r="1392" spans="17:22" x14ac:dyDescent="0.25">
      <c r="Q1392"/>
      <c r="V1392" s="2"/>
    </row>
    <row r="1393" spans="17:22" x14ac:dyDescent="0.25">
      <c r="Q1393"/>
      <c r="V1393" s="2"/>
    </row>
    <row r="1394" spans="17:22" x14ac:dyDescent="0.25">
      <c r="Q1394"/>
      <c r="V1394" s="2"/>
    </row>
    <row r="1395" spans="17:22" x14ac:dyDescent="0.25">
      <c r="Q1395"/>
      <c r="V1395" s="2"/>
    </row>
    <row r="1396" spans="17:22" x14ac:dyDescent="0.25">
      <c r="Q1396"/>
      <c r="V1396" s="2"/>
    </row>
    <row r="1397" spans="17:22" x14ac:dyDescent="0.25">
      <c r="Q1397"/>
      <c r="V1397" s="2"/>
    </row>
    <row r="1398" spans="17:22" x14ac:dyDescent="0.25">
      <c r="Q1398"/>
      <c r="V1398" s="2"/>
    </row>
    <row r="1399" spans="17:22" x14ac:dyDescent="0.25">
      <c r="Q1399"/>
      <c r="V1399" s="2"/>
    </row>
    <row r="1400" spans="17:22" x14ac:dyDescent="0.25">
      <c r="Q1400"/>
      <c r="V1400" s="2"/>
    </row>
    <row r="1401" spans="17:22" x14ac:dyDescent="0.25">
      <c r="Q1401"/>
      <c r="V1401" s="2"/>
    </row>
    <row r="1402" spans="17:22" x14ac:dyDescent="0.25">
      <c r="Q1402"/>
      <c r="V1402" s="2"/>
    </row>
    <row r="1403" spans="17:22" x14ac:dyDescent="0.25">
      <c r="Q1403"/>
      <c r="V1403" s="2"/>
    </row>
    <row r="1404" spans="17:22" x14ac:dyDescent="0.25">
      <c r="Q1404"/>
      <c r="V1404" s="2"/>
    </row>
    <row r="1405" spans="17:22" x14ac:dyDescent="0.25">
      <c r="Q1405"/>
      <c r="V1405" s="2"/>
    </row>
    <row r="1406" spans="17:22" x14ac:dyDescent="0.25">
      <c r="Q1406"/>
      <c r="V1406" s="2"/>
    </row>
    <row r="1407" spans="17:22" x14ac:dyDescent="0.25">
      <c r="Q1407"/>
      <c r="V1407" s="2"/>
    </row>
    <row r="1408" spans="17:22" x14ac:dyDescent="0.25">
      <c r="Q1408"/>
      <c r="V1408" s="2"/>
    </row>
    <row r="1409" spans="17:22" x14ac:dyDescent="0.25">
      <c r="Q1409"/>
      <c r="V1409" s="2"/>
    </row>
    <row r="1410" spans="17:22" x14ac:dyDescent="0.25">
      <c r="Q1410"/>
      <c r="V1410" s="2"/>
    </row>
    <row r="1411" spans="17:22" x14ac:dyDescent="0.25">
      <c r="Q1411"/>
      <c r="V1411" s="2"/>
    </row>
    <row r="1412" spans="17:22" x14ac:dyDescent="0.25">
      <c r="Q1412"/>
      <c r="V1412" s="2"/>
    </row>
    <row r="1413" spans="17:22" x14ac:dyDescent="0.25">
      <c r="Q1413"/>
      <c r="V1413" s="2"/>
    </row>
    <row r="1414" spans="17:22" x14ac:dyDescent="0.25">
      <c r="Q1414"/>
      <c r="V1414" s="2"/>
    </row>
    <row r="1415" spans="17:22" x14ac:dyDescent="0.25">
      <c r="Q1415"/>
      <c r="V1415" s="2"/>
    </row>
    <row r="1416" spans="17:22" x14ac:dyDescent="0.25">
      <c r="Q1416"/>
      <c r="V1416" s="2"/>
    </row>
    <row r="1417" spans="17:22" x14ac:dyDescent="0.25">
      <c r="Q1417"/>
      <c r="V1417" s="2"/>
    </row>
    <row r="1418" spans="17:22" x14ac:dyDescent="0.25">
      <c r="Q1418"/>
      <c r="V1418" s="2"/>
    </row>
    <row r="1419" spans="17:22" x14ac:dyDescent="0.25">
      <c r="Q1419"/>
      <c r="V1419" s="2"/>
    </row>
    <row r="1420" spans="17:22" x14ac:dyDescent="0.25">
      <c r="Q1420"/>
      <c r="V1420" s="2"/>
    </row>
    <row r="1421" spans="17:22" x14ac:dyDescent="0.25">
      <c r="Q1421"/>
      <c r="V1421" s="2"/>
    </row>
    <row r="1422" spans="17:22" x14ac:dyDescent="0.25">
      <c r="Q1422"/>
      <c r="V1422" s="2"/>
    </row>
    <row r="1423" spans="17:22" x14ac:dyDescent="0.25">
      <c r="Q1423"/>
      <c r="V1423" s="2"/>
    </row>
    <row r="1424" spans="17:22" x14ac:dyDescent="0.25">
      <c r="Q1424"/>
      <c r="V1424" s="2"/>
    </row>
    <row r="1425" spans="17:22" x14ac:dyDescent="0.25">
      <c r="Q1425"/>
      <c r="V1425" s="2"/>
    </row>
    <row r="1426" spans="17:22" x14ac:dyDescent="0.25">
      <c r="Q1426"/>
      <c r="V1426" s="2"/>
    </row>
    <row r="1427" spans="17:22" x14ac:dyDescent="0.25">
      <c r="Q1427"/>
      <c r="V1427" s="2"/>
    </row>
    <row r="1428" spans="17:22" x14ac:dyDescent="0.25">
      <c r="Q1428"/>
      <c r="V1428" s="2"/>
    </row>
    <row r="1429" spans="17:22" x14ac:dyDescent="0.25">
      <c r="Q1429"/>
      <c r="V1429" s="2"/>
    </row>
    <row r="1430" spans="17:22" x14ac:dyDescent="0.25">
      <c r="Q1430"/>
      <c r="V1430" s="2"/>
    </row>
    <row r="1431" spans="17:22" x14ac:dyDescent="0.25">
      <c r="Q1431"/>
      <c r="V1431" s="2"/>
    </row>
    <row r="1432" spans="17:22" x14ac:dyDescent="0.25">
      <c r="Q1432"/>
      <c r="V1432" s="2"/>
    </row>
    <row r="1433" spans="17:22" x14ac:dyDescent="0.25">
      <c r="Q1433"/>
      <c r="V1433" s="2"/>
    </row>
    <row r="1434" spans="17:22" x14ac:dyDescent="0.25">
      <c r="Q1434"/>
      <c r="V1434" s="2"/>
    </row>
    <row r="1435" spans="17:22" x14ac:dyDescent="0.25">
      <c r="Q1435"/>
      <c r="V1435" s="2"/>
    </row>
    <row r="1436" spans="17:22" x14ac:dyDescent="0.25">
      <c r="Q1436"/>
      <c r="V1436" s="2"/>
    </row>
    <row r="1437" spans="17:22" x14ac:dyDescent="0.25">
      <c r="Q1437"/>
      <c r="V1437" s="2"/>
    </row>
    <row r="1438" spans="17:22" x14ac:dyDescent="0.25">
      <c r="Q1438"/>
      <c r="V1438" s="2"/>
    </row>
    <row r="1439" spans="17:22" x14ac:dyDescent="0.25">
      <c r="Q1439"/>
      <c r="V1439" s="2"/>
    </row>
    <row r="1440" spans="17:22" x14ac:dyDescent="0.25">
      <c r="Q1440"/>
      <c r="V1440" s="2"/>
    </row>
    <row r="1441" spans="17:22" x14ac:dyDescent="0.25">
      <c r="Q1441"/>
      <c r="V1441" s="2"/>
    </row>
    <row r="1442" spans="17:22" x14ac:dyDescent="0.25">
      <c r="Q1442"/>
      <c r="V1442" s="2"/>
    </row>
    <row r="1443" spans="17:22" x14ac:dyDescent="0.25">
      <c r="Q1443"/>
      <c r="V1443" s="2"/>
    </row>
    <row r="1444" spans="17:22" x14ac:dyDescent="0.25">
      <c r="Q1444"/>
      <c r="V1444" s="2"/>
    </row>
    <row r="1445" spans="17:22" x14ac:dyDescent="0.25">
      <c r="Q1445"/>
      <c r="V1445" s="2"/>
    </row>
    <row r="1446" spans="17:22" x14ac:dyDescent="0.25">
      <c r="Q1446"/>
      <c r="V1446" s="2"/>
    </row>
    <row r="1447" spans="17:22" x14ac:dyDescent="0.25">
      <c r="Q1447"/>
      <c r="V1447" s="2"/>
    </row>
    <row r="1448" spans="17:22" x14ac:dyDescent="0.25">
      <c r="Q1448"/>
      <c r="V1448" s="2"/>
    </row>
    <row r="1449" spans="17:22" x14ac:dyDescent="0.25">
      <c r="Q1449"/>
      <c r="V1449" s="2"/>
    </row>
    <row r="1450" spans="17:22" x14ac:dyDescent="0.25">
      <c r="Q1450"/>
      <c r="V1450" s="2"/>
    </row>
    <row r="1451" spans="17:22" x14ac:dyDescent="0.25">
      <c r="Q1451"/>
      <c r="V1451" s="2"/>
    </row>
    <row r="1452" spans="17:22" x14ac:dyDescent="0.25">
      <c r="Q1452"/>
      <c r="V1452" s="2"/>
    </row>
    <row r="1453" spans="17:22" x14ac:dyDescent="0.25">
      <c r="Q1453"/>
      <c r="V1453" s="2"/>
    </row>
    <row r="1454" spans="17:22" x14ac:dyDescent="0.25">
      <c r="Q1454"/>
      <c r="V1454" s="2"/>
    </row>
    <row r="1455" spans="17:22" x14ac:dyDescent="0.25">
      <c r="Q1455"/>
      <c r="V1455" s="2"/>
    </row>
    <row r="1456" spans="17:22" x14ac:dyDescent="0.25">
      <c r="Q1456"/>
      <c r="V1456" s="2"/>
    </row>
    <row r="1457" spans="17:22" x14ac:dyDescent="0.25">
      <c r="Q1457"/>
      <c r="V1457" s="2"/>
    </row>
    <row r="1458" spans="17:22" x14ac:dyDescent="0.25">
      <c r="Q1458"/>
      <c r="V1458" s="2"/>
    </row>
    <row r="1459" spans="17:22" x14ac:dyDescent="0.25">
      <c r="Q1459"/>
      <c r="V1459" s="2"/>
    </row>
    <row r="1460" spans="17:22" x14ac:dyDescent="0.25">
      <c r="Q1460"/>
      <c r="V1460" s="2"/>
    </row>
    <row r="1461" spans="17:22" x14ac:dyDescent="0.25">
      <c r="Q1461"/>
      <c r="V1461" s="2"/>
    </row>
    <row r="1462" spans="17:22" x14ac:dyDescent="0.25">
      <c r="Q1462"/>
      <c r="V1462" s="2"/>
    </row>
    <row r="1463" spans="17:22" x14ac:dyDescent="0.25">
      <c r="Q1463"/>
      <c r="V1463" s="2"/>
    </row>
    <row r="1464" spans="17:22" x14ac:dyDescent="0.25">
      <c r="Q1464"/>
      <c r="V1464" s="2"/>
    </row>
    <row r="1465" spans="17:22" x14ac:dyDescent="0.25">
      <c r="Q1465"/>
      <c r="V1465" s="2"/>
    </row>
    <row r="1466" spans="17:22" x14ac:dyDescent="0.25">
      <c r="Q1466"/>
      <c r="V1466" s="2"/>
    </row>
    <row r="1467" spans="17:22" x14ac:dyDescent="0.25">
      <c r="Q1467"/>
      <c r="V1467" s="2"/>
    </row>
    <row r="1468" spans="17:22" x14ac:dyDescent="0.25">
      <c r="Q1468"/>
      <c r="V1468" s="2"/>
    </row>
    <row r="1469" spans="17:22" x14ac:dyDescent="0.25">
      <c r="Q1469"/>
      <c r="V1469" s="2"/>
    </row>
    <row r="1470" spans="17:22" x14ac:dyDescent="0.25">
      <c r="Q1470"/>
      <c r="V1470" s="2"/>
    </row>
    <row r="1471" spans="17:22" x14ac:dyDescent="0.25">
      <c r="Q1471"/>
      <c r="V1471" s="2"/>
    </row>
    <row r="1472" spans="17:22" x14ac:dyDescent="0.25">
      <c r="Q1472"/>
      <c r="V1472" s="2"/>
    </row>
    <row r="1473" spans="17:22" x14ac:dyDescent="0.25">
      <c r="Q1473"/>
      <c r="V1473" s="2"/>
    </row>
    <row r="1474" spans="17:22" x14ac:dyDescent="0.25">
      <c r="Q1474"/>
      <c r="V1474" s="2"/>
    </row>
    <row r="1475" spans="17:22" x14ac:dyDescent="0.25">
      <c r="Q1475"/>
      <c r="V1475" s="2"/>
    </row>
    <row r="1476" spans="17:22" x14ac:dyDescent="0.25">
      <c r="Q1476"/>
      <c r="V1476" s="2"/>
    </row>
    <row r="1477" spans="17:22" x14ac:dyDescent="0.25">
      <c r="Q1477"/>
      <c r="V1477" s="2"/>
    </row>
    <row r="1478" spans="17:22" x14ac:dyDescent="0.25">
      <c r="Q1478"/>
      <c r="V1478" s="2"/>
    </row>
    <row r="1479" spans="17:22" x14ac:dyDescent="0.25">
      <c r="Q1479"/>
      <c r="V1479" s="2"/>
    </row>
    <row r="1480" spans="17:22" x14ac:dyDescent="0.25">
      <c r="Q1480"/>
      <c r="V1480" s="2"/>
    </row>
    <row r="1481" spans="17:22" x14ac:dyDescent="0.25">
      <c r="Q1481"/>
      <c r="V1481" s="2"/>
    </row>
    <row r="1482" spans="17:22" x14ac:dyDescent="0.25">
      <c r="Q1482"/>
      <c r="V1482" s="2"/>
    </row>
    <row r="1483" spans="17:22" x14ac:dyDescent="0.25">
      <c r="Q1483"/>
      <c r="V1483" s="2"/>
    </row>
    <row r="1484" spans="17:22" x14ac:dyDescent="0.25">
      <c r="Q1484"/>
      <c r="V1484" s="2"/>
    </row>
    <row r="1485" spans="17:22" x14ac:dyDescent="0.25">
      <c r="Q1485"/>
      <c r="V1485" s="2"/>
    </row>
    <row r="1486" spans="17:22" x14ac:dyDescent="0.25">
      <c r="Q1486"/>
      <c r="V1486" s="2"/>
    </row>
    <row r="1487" spans="17:22" x14ac:dyDescent="0.25">
      <c r="Q1487"/>
      <c r="V1487" s="2"/>
    </row>
    <row r="1488" spans="17:22" x14ac:dyDescent="0.25">
      <c r="Q1488"/>
      <c r="V1488" s="2"/>
    </row>
    <row r="1489" spans="17:22" x14ac:dyDescent="0.25">
      <c r="Q1489"/>
      <c r="V1489" s="2"/>
    </row>
    <row r="1490" spans="17:22" x14ac:dyDescent="0.25">
      <c r="Q1490"/>
      <c r="V1490" s="2"/>
    </row>
    <row r="1491" spans="17:22" x14ac:dyDescent="0.25">
      <c r="Q1491"/>
      <c r="V1491" s="2"/>
    </row>
    <row r="1492" spans="17:22" x14ac:dyDescent="0.25">
      <c r="Q1492"/>
      <c r="V1492" s="2"/>
    </row>
    <row r="1493" spans="17:22" x14ac:dyDescent="0.25">
      <c r="Q1493"/>
      <c r="V1493" s="2"/>
    </row>
    <row r="1494" spans="17:22" x14ac:dyDescent="0.25">
      <c r="Q1494"/>
      <c r="V1494" s="2"/>
    </row>
    <row r="1495" spans="17:22" x14ac:dyDescent="0.25">
      <c r="Q1495"/>
      <c r="V1495" s="2"/>
    </row>
    <row r="1496" spans="17:22" x14ac:dyDescent="0.25">
      <c r="Q1496"/>
      <c r="V1496" s="2"/>
    </row>
    <row r="1497" spans="17:22" x14ac:dyDescent="0.25">
      <c r="Q1497"/>
      <c r="V1497" s="2"/>
    </row>
    <row r="1498" spans="17:22" x14ac:dyDescent="0.25">
      <c r="Q1498"/>
      <c r="V1498" s="2"/>
    </row>
    <row r="1499" spans="17:22" x14ac:dyDescent="0.25">
      <c r="Q1499"/>
      <c r="V1499" s="2"/>
    </row>
    <row r="1500" spans="17:22" x14ac:dyDescent="0.25">
      <c r="Q1500"/>
      <c r="V1500" s="2"/>
    </row>
    <row r="1501" spans="17:22" x14ac:dyDescent="0.25">
      <c r="Q1501"/>
      <c r="V1501" s="2"/>
    </row>
    <row r="1502" spans="17:22" x14ac:dyDescent="0.25">
      <c r="Q1502"/>
      <c r="V1502" s="2"/>
    </row>
    <row r="1503" spans="17:22" x14ac:dyDescent="0.25">
      <c r="Q1503"/>
      <c r="V1503" s="2"/>
    </row>
    <row r="1504" spans="17:22" x14ac:dyDescent="0.25">
      <c r="Q1504"/>
      <c r="V1504" s="2"/>
    </row>
    <row r="1505" spans="17:22" x14ac:dyDescent="0.25">
      <c r="Q1505"/>
      <c r="V1505" s="2"/>
    </row>
    <row r="1506" spans="17:22" x14ac:dyDescent="0.25">
      <c r="Q1506"/>
      <c r="V1506" s="2"/>
    </row>
    <row r="1507" spans="17:22" x14ac:dyDescent="0.25">
      <c r="Q1507"/>
      <c r="V1507" s="2"/>
    </row>
    <row r="1508" spans="17:22" x14ac:dyDescent="0.25">
      <c r="Q1508"/>
      <c r="V1508" s="2"/>
    </row>
    <row r="1509" spans="17:22" x14ac:dyDescent="0.25">
      <c r="Q1509"/>
      <c r="V1509" s="2"/>
    </row>
    <row r="1510" spans="17:22" x14ac:dyDescent="0.25">
      <c r="Q1510"/>
      <c r="V1510" s="2"/>
    </row>
    <row r="1511" spans="17:22" x14ac:dyDescent="0.25">
      <c r="Q1511"/>
      <c r="V1511" s="2"/>
    </row>
    <row r="1512" spans="17:22" x14ac:dyDescent="0.25">
      <c r="Q1512"/>
      <c r="V1512" s="2"/>
    </row>
    <row r="1513" spans="17:22" x14ac:dyDescent="0.25">
      <c r="Q1513"/>
      <c r="V1513" s="2"/>
    </row>
    <row r="1514" spans="17:22" x14ac:dyDescent="0.25">
      <c r="Q1514"/>
      <c r="V1514" s="2"/>
    </row>
    <row r="1515" spans="17:22" x14ac:dyDescent="0.25">
      <c r="Q1515"/>
      <c r="V1515" s="2"/>
    </row>
    <row r="1516" spans="17:22" x14ac:dyDescent="0.25">
      <c r="Q1516"/>
      <c r="V1516" s="2"/>
    </row>
    <row r="1517" spans="17:22" x14ac:dyDescent="0.25">
      <c r="Q1517"/>
      <c r="V1517" s="2"/>
    </row>
    <row r="1518" spans="17:22" x14ac:dyDescent="0.25">
      <c r="Q1518"/>
      <c r="V1518" s="2"/>
    </row>
    <row r="1519" spans="17:22" x14ac:dyDescent="0.25">
      <c r="Q1519"/>
      <c r="V1519" s="2"/>
    </row>
    <row r="1520" spans="17:22" x14ac:dyDescent="0.25">
      <c r="Q1520"/>
      <c r="V1520" s="2"/>
    </row>
    <row r="1521" spans="17:22" x14ac:dyDescent="0.25">
      <c r="Q1521"/>
      <c r="V1521" s="2"/>
    </row>
    <row r="1522" spans="17:22" x14ac:dyDescent="0.25">
      <c r="Q1522"/>
      <c r="V1522" s="2"/>
    </row>
    <row r="1523" spans="17:22" x14ac:dyDescent="0.25">
      <c r="Q1523"/>
      <c r="V1523" s="2"/>
    </row>
    <row r="1524" spans="17:22" x14ac:dyDescent="0.25">
      <c r="Q1524"/>
      <c r="V1524" s="2"/>
    </row>
    <row r="1525" spans="17:22" x14ac:dyDescent="0.25">
      <c r="Q1525"/>
      <c r="V1525" s="2"/>
    </row>
    <row r="1526" spans="17:22" x14ac:dyDescent="0.25">
      <c r="Q1526"/>
      <c r="V1526" s="2"/>
    </row>
    <row r="1527" spans="17:22" x14ac:dyDescent="0.25">
      <c r="Q1527"/>
      <c r="V1527" s="2"/>
    </row>
    <row r="1528" spans="17:22" x14ac:dyDescent="0.25">
      <c r="Q1528"/>
      <c r="V1528" s="2"/>
    </row>
    <row r="1529" spans="17:22" x14ac:dyDescent="0.25">
      <c r="Q1529"/>
      <c r="V1529" s="2"/>
    </row>
    <row r="1530" spans="17:22" x14ac:dyDescent="0.25">
      <c r="Q1530"/>
      <c r="V1530" s="2"/>
    </row>
    <row r="1531" spans="17:22" x14ac:dyDescent="0.25">
      <c r="Q1531"/>
      <c r="V1531" s="2"/>
    </row>
    <row r="1532" spans="17:22" x14ac:dyDescent="0.25">
      <c r="Q1532"/>
      <c r="V1532" s="2"/>
    </row>
    <row r="1533" spans="17:22" x14ac:dyDescent="0.25">
      <c r="Q1533"/>
      <c r="V1533" s="2"/>
    </row>
    <row r="1534" spans="17:22" x14ac:dyDescent="0.25">
      <c r="Q1534"/>
      <c r="V1534" s="2"/>
    </row>
    <row r="1535" spans="17:22" x14ac:dyDescent="0.25">
      <c r="Q1535"/>
      <c r="V1535" s="2"/>
    </row>
    <row r="1536" spans="17:22" x14ac:dyDescent="0.25">
      <c r="Q1536"/>
      <c r="V1536" s="2"/>
    </row>
    <row r="1537" spans="17:22" x14ac:dyDescent="0.25">
      <c r="Q1537"/>
      <c r="V1537" s="2"/>
    </row>
    <row r="1538" spans="17:22" x14ac:dyDescent="0.25">
      <c r="Q1538"/>
      <c r="V1538" s="2"/>
    </row>
    <row r="1539" spans="17:22" x14ac:dyDescent="0.25">
      <c r="Q1539"/>
      <c r="V1539" s="2"/>
    </row>
    <row r="1540" spans="17:22" x14ac:dyDescent="0.25">
      <c r="Q1540"/>
      <c r="V1540" s="2"/>
    </row>
    <row r="1541" spans="17:22" x14ac:dyDescent="0.25">
      <c r="Q1541"/>
      <c r="V1541" s="2"/>
    </row>
    <row r="1542" spans="17:22" x14ac:dyDescent="0.25">
      <c r="Q1542"/>
      <c r="V1542" s="2"/>
    </row>
    <row r="1543" spans="17:22" x14ac:dyDescent="0.25">
      <c r="Q1543"/>
      <c r="V1543" s="2"/>
    </row>
    <row r="1544" spans="17:22" x14ac:dyDescent="0.25">
      <c r="Q1544"/>
      <c r="V1544" s="2"/>
    </row>
    <row r="1545" spans="17:22" x14ac:dyDescent="0.25">
      <c r="Q1545"/>
      <c r="V1545" s="2"/>
    </row>
    <row r="1546" spans="17:22" x14ac:dyDescent="0.25">
      <c r="Q1546"/>
      <c r="V1546" s="2"/>
    </row>
    <row r="1547" spans="17:22" x14ac:dyDescent="0.25">
      <c r="Q1547"/>
      <c r="V1547" s="2"/>
    </row>
    <row r="1548" spans="17:22" x14ac:dyDescent="0.25">
      <c r="Q1548"/>
      <c r="V1548" s="2"/>
    </row>
    <row r="1549" spans="17:22" x14ac:dyDescent="0.25">
      <c r="Q1549"/>
      <c r="V1549" s="2"/>
    </row>
    <row r="1550" spans="17:22" x14ac:dyDescent="0.25">
      <c r="Q1550"/>
      <c r="V1550" s="2"/>
    </row>
    <row r="1551" spans="17:22" x14ac:dyDescent="0.25">
      <c r="Q1551"/>
      <c r="V1551" s="2"/>
    </row>
    <row r="1552" spans="17:22" x14ac:dyDescent="0.25">
      <c r="Q1552"/>
      <c r="V1552" s="2"/>
    </row>
    <row r="1553" spans="17:22" x14ac:dyDescent="0.25">
      <c r="Q1553"/>
      <c r="V1553" s="2"/>
    </row>
    <row r="1554" spans="17:22" x14ac:dyDescent="0.25">
      <c r="Q1554"/>
      <c r="V1554" s="2"/>
    </row>
    <row r="1555" spans="17:22" x14ac:dyDescent="0.25">
      <c r="Q1555"/>
      <c r="V1555" s="2"/>
    </row>
    <row r="1556" spans="17:22" x14ac:dyDescent="0.25">
      <c r="Q1556"/>
      <c r="V1556" s="2"/>
    </row>
    <row r="1557" spans="17:22" x14ac:dyDescent="0.25">
      <c r="Q1557"/>
      <c r="V1557" s="2"/>
    </row>
    <row r="1558" spans="17:22" x14ac:dyDescent="0.25">
      <c r="Q1558"/>
      <c r="V1558" s="2"/>
    </row>
    <row r="1559" spans="17:22" x14ac:dyDescent="0.25">
      <c r="Q1559"/>
      <c r="V1559" s="2"/>
    </row>
    <row r="1560" spans="17:22" x14ac:dyDescent="0.25">
      <c r="Q1560"/>
      <c r="V1560" s="2"/>
    </row>
    <row r="1561" spans="17:22" x14ac:dyDescent="0.25">
      <c r="Q1561"/>
      <c r="V1561" s="2"/>
    </row>
    <row r="1562" spans="17:22" x14ac:dyDescent="0.25">
      <c r="Q1562"/>
      <c r="V1562" s="2"/>
    </row>
    <row r="1563" spans="17:22" x14ac:dyDescent="0.25">
      <c r="Q1563"/>
      <c r="V1563" s="2"/>
    </row>
    <row r="1564" spans="17:22" x14ac:dyDescent="0.25">
      <c r="Q1564"/>
      <c r="V1564" s="2"/>
    </row>
    <row r="1565" spans="17:22" x14ac:dyDescent="0.25">
      <c r="Q1565"/>
      <c r="V1565" s="2"/>
    </row>
    <row r="1566" spans="17:22" x14ac:dyDescent="0.25">
      <c r="Q1566"/>
      <c r="V1566" s="2"/>
    </row>
    <row r="1567" spans="17:22" x14ac:dyDescent="0.25">
      <c r="Q1567"/>
      <c r="V1567" s="2"/>
    </row>
    <row r="1568" spans="17:22" x14ac:dyDescent="0.25">
      <c r="Q1568"/>
      <c r="V1568" s="2"/>
    </row>
    <row r="1569" spans="17:22" x14ac:dyDescent="0.25">
      <c r="Q1569"/>
      <c r="V1569" s="2"/>
    </row>
    <row r="1570" spans="17:22" x14ac:dyDescent="0.25">
      <c r="Q1570"/>
      <c r="V1570" s="2"/>
    </row>
    <row r="1571" spans="17:22" x14ac:dyDescent="0.25">
      <c r="Q1571"/>
      <c r="V1571" s="2"/>
    </row>
    <row r="1572" spans="17:22" x14ac:dyDescent="0.25">
      <c r="Q1572"/>
      <c r="V1572" s="2"/>
    </row>
    <row r="1573" spans="17:22" x14ac:dyDescent="0.25">
      <c r="Q1573"/>
      <c r="V1573" s="2"/>
    </row>
    <row r="1574" spans="17:22" x14ac:dyDescent="0.25">
      <c r="Q1574"/>
      <c r="V1574" s="2"/>
    </row>
    <row r="1575" spans="17:22" x14ac:dyDescent="0.25">
      <c r="Q1575"/>
      <c r="V1575" s="2"/>
    </row>
    <row r="1576" spans="17:22" x14ac:dyDescent="0.25">
      <c r="Q1576"/>
      <c r="V1576" s="2"/>
    </row>
    <row r="1577" spans="17:22" x14ac:dyDescent="0.25">
      <c r="Q1577"/>
      <c r="V1577" s="2"/>
    </row>
    <row r="1578" spans="17:22" x14ac:dyDescent="0.25">
      <c r="Q1578"/>
      <c r="V1578" s="2"/>
    </row>
    <row r="1579" spans="17:22" x14ac:dyDescent="0.25">
      <c r="Q1579"/>
      <c r="V1579" s="2"/>
    </row>
    <row r="1580" spans="17:22" x14ac:dyDescent="0.25">
      <c r="Q1580"/>
      <c r="V1580" s="2"/>
    </row>
    <row r="1581" spans="17:22" x14ac:dyDescent="0.25">
      <c r="Q1581"/>
      <c r="V1581" s="2"/>
    </row>
    <row r="1582" spans="17:22" x14ac:dyDescent="0.25">
      <c r="Q1582"/>
      <c r="V1582" s="2"/>
    </row>
    <row r="1583" spans="17:22" x14ac:dyDescent="0.25">
      <c r="Q1583"/>
      <c r="V1583" s="2"/>
    </row>
    <row r="1584" spans="17:22" x14ac:dyDescent="0.25">
      <c r="Q1584"/>
      <c r="V1584" s="2"/>
    </row>
    <row r="1585" spans="17:22" x14ac:dyDescent="0.25">
      <c r="Q1585"/>
      <c r="V1585" s="2"/>
    </row>
    <row r="1586" spans="17:22" x14ac:dyDescent="0.25">
      <c r="Q1586"/>
      <c r="V1586" s="2"/>
    </row>
    <row r="1587" spans="17:22" x14ac:dyDescent="0.25">
      <c r="Q1587"/>
      <c r="V1587" s="2"/>
    </row>
    <row r="1588" spans="17:22" x14ac:dyDescent="0.25">
      <c r="Q1588"/>
      <c r="V1588" s="2"/>
    </row>
    <row r="1589" spans="17:22" x14ac:dyDescent="0.25">
      <c r="Q1589"/>
      <c r="V1589" s="2"/>
    </row>
    <row r="1590" spans="17:22" x14ac:dyDescent="0.25">
      <c r="Q1590"/>
      <c r="V1590" s="2"/>
    </row>
    <row r="1591" spans="17:22" x14ac:dyDescent="0.25">
      <c r="Q1591"/>
      <c r="V1591" s="2"/>
    </row>
    <row r="1592" spans="17:22" x14ac:dyDescent="0.25">
      <c r="Q1592"/>
      <c r="V1592" s="2"/>
    </row>
    <row r="1593" spans="17:22" x14ac:dyDescent="0.25">
      <c r="Q1593"/>
      <c r="V1593" s="2"/>
    </row>
    <row r="1594" spans="17:22" x14ac:dyDescent="0.25">
      <c r="Q1594"/>
      <c r="V1594" s="2"/>
    </row>
    <row r="1595" spans="17:22" x14ac:dyDescent="0.25">
      <c r="Q1595"/>
      <c r="V1595" s="2"/>
    </row>
    <row r="1596" spans="17:22" x14ac:dyDescent="0.25">
      <c r="Q1596"/>
      <c r="V1596" s="2"/>
    </row>
    <row r="1597" spans="17:22" x14ac:dyDescent="0.25">
      <c r="Q1597"/>
      <c r="V1597" s="2"/>
    </row>
    <row r="1598" spans="17:22" x14ac:dyDescent="0.25">
      <c r="Q1598"/>
      <c r="V1598" s="2"/>
    </row>
    <row r="1599" spans="17:22" x14ac:dyDescent="0.25">
      <c r="Q1599"/>
      <c r="V1599" s="2"/>
    </row>
    <row r="1600" spans="17:22" x14ac:dyDescent="0.25">
      <c r="Q1600"/>
      <c r="V1600" s="2"/>
    </row>
    <row r="1601" spans="17:22" x14ac:dyDescent="0.25">
      <c r="Q1601"/>
      <c r="V1601" s="2"/>
    </row>
    <row r="1602" spans="17:22" x14ac:dyDescent="0.25">
      <c r="Q1602"/>
      <c r="V1602" s="2"/>
    </row>
    <row r="1603" spans="17:22" x14ac:dyDescent="0.25">
      <c r="Q1603"/>
      <c r="V1603" s="2"/>
    </row>
    <row r="1604" spans="17:22" x14ac:dyDescent="0.25">
      <c r="Q1604"/>
      <c r="V1604" s="2"/>
    </row>
    <row r="1605" spans="17:22" x14ac:dyDescent="0.25">
      <c r="Q1605"/>
      <c r="V1605" s="2"/>
    </row>
    <row r="1606" spans="17:22" x14ac:dyDescent="0.25">
      <c r="Q1606"/>
      <c r="V1606" s="2"/>
    </row>
    <row r="1607" spans="17:22" x14ac:dyDescent="0.25">
      <c r="Q1607"/>
      <c r="V1607" s="2"/>
    </row>
    <row r="1608" spans="17:22" x14ac:dyDescent="0.25">
      <c r="Q1608"/>
      <c r="V1608" s="2"/>
    </row>
    <row r="1609" spans="17:22" x14ac:dyDescent="0.25">
      <c r="Q1609"/>
      <c r="V1609" s="2"/>
    </row>
    <row r="1610" spans="17:22" x14ac:dyDescent="0.25">
      <c r="Q1610"/>
      <c r="V1610" s="2"/>
    </row>
    <row r="1611" spans="17:22" x14ac:dyDescent="0.25">
      <c r="Q1611"/>
      <c r="V1611" s="2"/>
    </row>
    <row r="1612" spans="17:22" x14ac:dyDescent="0.25">
      <c r="Q1612"/>
      <c r="V1612" s="2"/>
    </row>
    <row r="1613" spans="17:22" x14ac:dyDescent="0.25">
      <c r="Q1613"/>
      <c r="V1613" s="2"/>
    </row>
    <row r="1614" spans="17:22" x14ac:dyDescent="0.25">
      <c r="Q1614"/>
      <c r="V1614" s="2"/>
    </row>
    <row r="1615" spans="17:22" x14ac:dyDescent="0.25">
      <c r="Q1615"/>
      <c r="V1615" s="2"/>
    </row>
    <row r="1616" spans="17:22" x14ac:dyDescent="0.25">
      <c r="Q1616"/>
      <c r="V1616" s="2"/>
    </row>
    <row r="1617" spans="17:22" x14ac:dyDescent="0.25">
      <c r="Q1617"/>
      <c r="V1617" s="2"/>
    </row>
    <row r="1618" spans="17:22" x14ac:dyDescent="0.25">
      <c r="Q1618"/>
      <c r="V1618" s="2"/>
    </row>
    <row r="1619" spans="17:22" x14ac:dyDescent="0.25">
      <c r="Q1619"/>
      <c r="V1619" s="2"/>
    </row>
    <row r="1620" spans="17:22" x14ac:dyDescent="0.25">
      <c r="Q1620"/>
      <c r="V1620" s="2"/>
    </row>
    <row r="1621" spans="17:22" x14ac:dyDescent="0.25">
      <c r="Q1621"/>
      <c r="V1621" s="2"/>
    </row>
    <row r="1622" spans="17:22" x14ac:dyDescent="0.25">
      <c r="Q1622"/>
      <c r="V1622" s="2"/>
    </row>
    <row r="1623" spans="17:22" x14ac:dyDescent="0.25">
      <c r="Q1623"/>
      <c r="V1623" s="2"/>
    </row>
    <row r="1624" spans="17:22" x14ac:dyDescent="0.25">
      <c r="Q1624"/>
      <c r="V1624" s="2"/>
    </row>
    <row r="1625" spans="17:22" x14ac:dyDescent="0.25">
      <c r="Q1625"/>
      <c r="V1625" s="2"/>
    </row>
    <row r="1626" spans="17:22" x14ac:dyDescent="0.25">
      <c r="Q1626"/>
      <c r="V1626" s="2"/>
    </row>
    <row r="1627" spans="17:22" x14ac:dyDescent="0.25">
      <c r="Q1627"/>
      <c r="V1627" s="2"/>
    </row>
    <row r="1628" spans="17:22" x14ac:dyDescent="0.25">
      <c r="Q1628"/>
      <c r="V1628" s="2"/>
    </row>
    <row r="1629" spans="17:22" x14ac:dyDescent="0.25">
      <c r="Q1629"/>
      <c r="V1629" s="2"/>
    </row>
    <row r="1630" spans="17:22" x14ac:dyDescent="0.25">
      <c r="Q1630"/>
      <c r="V1630" s="2"/>
    </row>
    <row r="1631" spans="17:22" x14ac:dyDescent="0.25">
      <c r="Q1631"/>
      <c r="V1631" s="2"/>
    </row>
    <row r="1632" spans="17:22" x14ac:dyDescent="0.25">
      <c r="Q1632"/>
      <c r="V1632" s="2"/>
    </row>
    <row r="1633" spans="17:22" x14ac:dyDescent="0.25">
      <c r="Q1633"/>
      <c r="V1633" s="2"/>
    </row>
    <row r="1634" spans="17:22" x14ac:dyDescent="0.25">
      <c r="Q1634"/>
      <c r="V1634" s="2"/>
    </row>
    <row r="1635" spans="17:22" x14ac:dyDescent="0.25">
      <c r="Q1635"/>
      <c r="V1635" s="2"/>
    </row>
    <row r="1636" spans="17:22" x14ac:dyDescent="0.25">
      <c r="Q1636"/>
      <c r="V1636" s="2"/>
    </row>
    <row r="1637" spans="17:22" x14ac:dyDescent="0.25">
      <c r="Q1637"/>
      <c r="V1637" s="2"/>
    </row>
    <row r="1638" spans="17:22" x14ac:dyDescent="0.25">
      <c r="Q1638"/>
      <c r="V1638" s="2"/>
    </row>
    <row r="1639" spans="17:22" x14ac:dyDescent="0.25">
      <c r="Q1639"/>
      <c r="V1639" s="2"/>
    </row>
    <row r="1640" spans="17:22" x14ac:dyDescent="0.25">
      <c r="Q1640"/>
      <c r="V1640" s="2"/>
    </row>
    <row r="1641" spans="17:22" x14ac:dyDescent="0.25">
      <c r="Q1641"/>
      <c r="V1641" s="2"/>
    </row>
    <row r="1642" spans="17:22" x14ac:dyDescent="0.25">
      <c r="Q1642"/>
      <c r="V1642" s="2"/>
    </row>
    <row r="1643" spans="17:22" x14ac:dyDescent="0.25">
      <c r="Q1643"/>
      <c r="V1643" s="2"/>
    </row>
    <row r="1644" spans="17:22" x14ac:dyDescent="0.25">
      <c r="Q1644"/>
      <c r="V1644" s="2"/>
    </row>
    <row r="1645" spans="17:22" x14ac:dyDescent="0.25">
      <c r="Q1645"/>
      <c r="V1645" s="2"/>
    </row>
    <row r="1646" spans="17:22" x14ac:dyDescent="0.25">
      <c r="Q1646"/>
      <c r="V1646" s="2"/>
    </row>
    <row r="1647" spans="17:22" x14ac:dyDescent="0.25">
      <c r="Q1647"/>
      <c r="V1647" s="2"/>
    </row>
    <row r="1648" spans="17:22" x14ac:dyDescent="0.25">
      <c r="Q1648"/>
      <c r="V1648" s="2"/>
    </row>
    <row r="1649" spans="17:22" x14ac:dyDescent="0.25">
      <c r="Q1649"/>
      <c r="V1649" s="2"/>
    </row>
    <row r="1650" spans="17:22" x14ac:dyDescent="0.25">
      <c r="Q1650"/>
      <c r="V1650" s="2"/>
    </row>
    <row r="1651" spans="17:22" x14ac:dyDescent="0.25">
      <c r="Q1651"/>
      <c r="V1651" s="2"/>
    </row>
    <row r="1652" spans="17:22" x14ac:dyDescent="0.25">
      <c r="Q1652"/>
      <c r="V1652" s="2"/>
    </row>
    <row r="1653" spans="17:22" x14ac:dyDescent="0.25">
      <c r="Q1653"/>
      <c r="V1653" s="2"/>
    </row>
    <row r="1654" spans="17:22" x14ac:dyDescent="0.25">
      <c r="Q1654"/>
      <c r="V1654" s="2"/>
    </row>
    <row r="1655" spans="17:22" x14ac:dyDescent="0.25">
      <c r="Q1655"/>
      <c r="V1655" s="2"/>
    </row>
    <row r="1656" spans="17:22" x14ac:dyDescent="0.25">
      <c r="Q1656"/>
      <c r="V1656" s="2"/>
    </row>
    <row r="1657" spans="17:22" x14ac:dyDescent="0.25">
      <c r="Q1657"/>
      <c r="V1657" s="2"/>
    </row>
    <row r="1658" spans="17:22" x14ac:dyDescent="0.25">
      <c r="Q1658"/>
      <c r="V1658" s="2"/>
    </row>
    <row r="1659" spans="17:22" x14ac:dyDescent="0.25">
      <c r="Q1659"/>
      <c r="V1659" s="2"/>
    </row>
    <row r="1660" spans="17:22" x14ac:dyDescent="0.25">
      <c r="Q1660"/>
      <c r="V1660" s="2"/>
    </row>
    <row r="1661" spans="17:22" x14ac:dyDescent="0.25">
      <c r="Q1661"/>
      <c r="V1661" s="2"/>
    </row>
    <row r="1662" spans="17:22" x14ac:dyDescent="0.25">
      <c r="Q1662"/>
      <c r="V1662" s="2"/>
    </row>
    <row r="1663" spans="17:22" x14ac:dyDescent="0.25">
      <c r="Q1663"/>
      <c r="V1663" s="2"/>
    </row>
    <row r="1664" spans="17:22" x14ac:dyDescent="0.25">
      <c r="Q1664"/>
      <c r="V1664" s="2"/>
    </row>
    <row r="1665" spans="17:22" x14ac:dyDescent="0.25">
      <c r="Q1665"/>
      <c r="V1665" s="2"/>
    </row>
    <row r="1666" spans="17:22" x14ac:dyDescent="0.25">
      <c r="Q1666"/>
      <c r="V1666" s="2"/>
    </row>
    <row r="1667" spans="17:22" x14ac:dyDescent="0.25">
      <c r="Q1667"/>
      <c r="V1667" s="2"/>
    </row>
    <row r="1668" spans="17:22" x14ac:dyDescent="0.25">
      <c r="Q1668"/>
      <c r="V1668" s="2"/>
    </row>
    <row r="1669" spans="17:22" x14ac:dyDescent="0.25">
      <c r="Q1669"/>
      <c r="V1669" s="2"/>
    </row>
    <row r="1670" spans="17:22" x14ac:dyDescent="0.25">
      <c r="Q1670"/>
      <c r="V1670" s="2"/>
    </row>
    <row r="1671" spans="17:22" x14ac:dyDescent="0.25">
      <c r="Q1671"/>
      <c r="V1671" s="2"/>
    </row>
    <row r="1672" spans="17:22" x14ac:dyDescent="0.25">
      <c r="Q1672"/>
      <c r="V1672" s="2"/>
    </row>
    <row r="1673" spans="17:22" x14ac:dyDescent="0.25">
      <c r="Q1673"/>
      <c r="V1673" s="2"/>
    </row>
    <row r="1674" spans="17:22" x14ac:dyDescent="0.25">
      <c r="Q1674"/>
      <c r="V1674" s="2"/>
    </row>
    <row r="1675" spans="17:22" x14ac:dyDescent="0.25">
      <c r="Q1675"/>
      <c r="V1675" s="2"/>
    </row>
    <row r="1676" spans="17:22" x14ac:dyDescent="0.25">
      <c r="Q1676"/>
      <c r="V1676" s="2"/>
    </row>
    <row r="1677" spans="17:22" x14ac:dyDescent="0.25">
      <c r="Q1677"/>
      <c r="V1677" s="2"/>
    </row>
    <row r="1678" spans="17:22" x14ac:dyDescent="0.25">
      <c r="Q1678"/>
      <c r="V1678" s="2"/>
    </row>
    <row r="1679" spans="17:22" x14ac:dyDescent="0.25">
      <c r="Q1679"/>
      <c r="V1679" s="2"/>
    </row>
    <row r="1680" spans="17:22" x14ac:dyDescent="0.25">
      <c r="Q1680"/>
      <c r="V1680" s="2"/>
    </row>
    <row r="1681" spans="17:22" x14ac:dyDescent="0.25">
      <c r="Q1681"/>
      <c r="V1681" s="2"/>
    </row>
    <row r="1682" spans="17:22" x14ac:dyDescent="0.25">
      <c r="Q1682"/>
      <c r="V1682" s="2"/>
    </row>
    <row r="1683" spans="17:22" x14ac:dyDescent="0.25">
      <c r="Q1683"/>
      <c r="V1683" s="2"/>
    </row>
    <row r="1684" spans="17:22" x14ac:dyDescent="0.25">
      <c r="Q1684"/>
      <c r="V1684" s="2"/>
    </row>
    <row r="1685" spans="17:22" x14ac:dyDescent="0.25">
      <c r="Q1685"/>
      <c r="V1685" s="2"/>
    </row>
    <row r="1686" spans="17:22" x14ac:dyDescent="0.25">
      <c r="Q1686"/>
      <c r="V1686" s="2"/>
    </row>
    <row r="1687" spans="17:22" x14ac:dyDescent="0.25">
      <c r="Q1687"/>
      <c r="V1687" s="2"/>
    </row>
    <row r="1688" spans="17:22" x14ac:dyDescent="0.25">
      <c r="Q1688"/>
      <c r="V1688" s="2"/>
    </row>
    <row r="1689" spans="17:22" x14ac:dyDescent="0.25">
      <c r="Q1689"/>
      <c r="V1689" s="2"/>
    </row>
    <row r="1690" spans="17:22" x14ac:dyDescent="0.25">
      <c r="Q1690"/>
      <c r="V1690" s="2"/>
    </row>
    <row r="1691" spans="17:22" x14ac:dyDescent="0.25">
      <c r="Q1691"/>
      <c r="V1691" s="2"/>
    </row>
    <row r="1692" spans="17:22" x14ac:dyDescent="0.25">
      <c r="Q1692"/>
      <c r="V1692" s="2"/>
    </row>
    <row r="1693" spans="17:22" x14ac:dyDescent="0.25">
      <c r="Q1693"/>
      <c r="V1693" s="2"/>
    </row>
    <row r="1694" spans="17:22" x14ac:dyDescent="0.25">
      <c r="Q1694"/>
      <c r="V1694" s="2"/>
    </row>
    <row r="1695" spans="17:22" x14ac:dyDescent="0.25">
      <c r="Q1695"/>
      <c r="V1695" s="2"/>
    </row>
    <row r="1696" spans="17:22" x14ac:dyDescent="0.25">
      <c r="Q1696"/>
      <c r="V1696" s="2"/>
    </row>
    <row r="1697" spans="17:22" x14ac:dyDescent="0.25">
      <c r="Q1697"/>
      <c r="V1697" s="2"/>
    </row>
    <row r="1698" spans="17:22" x14ac:dyDescent="0.25">
      <c r="Q1698"/>
      <c r="V1698" s="2"/>
    </row>
    <row r="1699" spans="17:22" x14ac:dyDescent="0.25">
      <c r="Q1699"/>
      <c r="V1699" s="2"/>
    </row>
    <row r="1700" spans="17:22" x14ac:dyDescent="0.25">
      <c r="Q1700"/>
      <c r="V1700" s="2"/>
    </row>
    <row r="1701" spans="17:22" x14ac:dyDescent="0.25">
      <c r="Q1701"/>
      <c r="V1701" s="2"/>
    </row>
    <row r="1702" spans="17:22" x14ac:dyDescent="0.25">
      <c r="Q1702"/>
      <c r="V1702" s="2"/>
    </row>
    <row r="1703" spans="17:22" x14ac:dyDescent="0.25">
      <c r="Q1703"/>
      <c r="V1703" s="2"/>
    </row>
    <row r="1704" spans="17:22" x14ac:dyDescent="0.25">
      <c r="Q1704"/>
      <c r="V1704" s="2"/>
    </row>
    <row r="1705" spans="17:22" x14ac:dyDescent="0.25">
      <c r="Q1705"/>
      <c r="V1705" s="2"/>
    </row>
    <row r="1706" spans="17:22" x14ac:dyDescent="0.25">
      <c r="Q1706"/>
      <c r="V1706" s="2"/>
    </row>
    <row r="1707" spans="17:22" x14ac:dyDescent="0.25">
      <c r="Q1707"/>
      <c r="V1707" s="2"/>
    </row>
    <row r="1708" spans="17:22" x14ac:dyDescent="0.25">
      <c r="Q1708"/>
      <c r="V1708" s="2"/>
    </row>
    <row r="1709" spans="17:22" x14ac:dyDescent="0.25">
      <c r="Q1709"/>
      <c r="V1709" s="2"/>
    </row>
    <row r="1710" spans="17:22" x14ac:dyDescent="0.25">
      <c r="Q1710"/>
      <c r="V1710" s="2"/>
    </row>
    <row r="1711" spans="17:22" x14ac:dyDescent="0.25">
      <c r="Q1711"/>
      <c r="V1711" s="2"/>
    </row>
    <row r="1712" spans="17:22" x14ac:dyDescent="0.25">
      <c r="Q1712"/>
      <c r="V1712" s="2"/>
    </row>
    <row r="1713" spans="17:22" x14ac:dyDescent="0.25">
      <c r="Q1713"/>
      <c r="V1713" s="2"/>
    </row>
    <row r="1714" spans="17:22" x14ac:dyDescent="0.25">
      <c r="Q1714"/>
      <c r="V1714" s="2"/>
    </row>
    <row r="1715" spans="17:22" x14ac:dyDescent="0.25">
      <c r="Q1715"/>
      <c r="V1715" s="2"/>
    </row>
    <row r="1716" spans="17:22" x14ac:dyDescent="0.25">
      <c r="Q1716"/>
      <c r="V1716" s="2"/>
    </row>
    <row r="1717" spans="17:22" x14ac:dyDescent="0.25">
      <c r="Q1717"/>
      <c r="V1717" s="2"/>
    </row>
    <row r="1718" spans="17:22" x14ac:dyDescent="0.25">
      <c r="Q1718"/>
      <c r="V1718" s="2"/>
    </row>
    <row r="1719" spans="17:22" x14ac:dyDescent="0.25">
      <c r="Q1719"/>
      <c r="V1719" s="2"/>
    </row>
    <row r="1720" spans="17:22" x14ac:dyDescent="0.25">
      <c r="Q1720"/>
      <c r="V1720" s="2"/>
    </row>
    <row r="1721" spans="17:22" x14ac:dyDescent="0.25">
      <c r="Q1721"/>
      <c r="V1721" s="2"/>
    </row>
    <row r="1722" spans="17:22" x14ac:dyDescent="0.25">
      <c r="Q1722"/>
      <c r="V1722" s="2"/>
    </row>
    <row r="1723" spans="17:22" x14ac:dyDescent="0.25">
      <c r="Q1723"/>
      <c r="V1723" s="2"/>
    </row>
    <row r="1724" spans="17:22" x14ac:dyDescent="0.25">
      <c r="Q1724"/>
      <c r="V1724" s="2"/>
    </row>
    <row r="1725" spans="17:22" x14ac:dyDescent="0.25">
      <c r="Q1725"/>
      <c r="V1725" s="2"/>
    </row>
    <row r="1726" spans="17:22" x14ac:dyDescent="0.25">
      <c r="Q1726"/>
      <c r="V1726" s="2"/>
    </row>
    <row r="1727" spans="17:22" x14ac:dyDescent="0.25">
      <c r="Q1727"/>
      <c r="V1727" s="2"/>
    </row>
    <row r="1728" spans="17:22" x14ac:dyDescent="0.25">
      <c r="Q1728"/>
      <c r="V1728" s="2"/>
    </row>
    <row r="1729" spans="17:22" x14ac:dyDescent="0.25">
      <c r="Q1729"/>
      <c r="V1729" s="2"/>
    </row>
    <row r="1730" spans="17:22" x14ac:dyDescent="0.25">
      <c r="Q1730"/>
      <c r="V1730" s="2"/>
    </row>
    <row r="1731" spans="17:22" x14ac:dyDescent="0.25">
      <c r="Q1731"/>
      <c r="V1731" s="2"/>
    </row>
    <row r="1732" spans="17:22" x14ac:dyDescent="0.25">
      <c r="Q1732"/>
      <c r="V1732" s="2"/>
    </row>
    <row r="1733" spans="17:22" x14ac:dyDescent="0.25">
      <c r="Q1733"/>
      <c r="V1733" s="2"/>
    </row>
    <row r="1734" spans="17:22" x14ac:dyDescent="0.25">
      <c r="Q1734"/>
      <c r="V1734" s="2"/>
    </row>
    <row r="1735" spans="17:22" x14ac:dyDescent="0.25">
      <c r="Q1735"/>
      <c r="V1735" s="2"/>
    </row>
    <row r="1736" spans="17:22" x14ac:dyDescent="0.25">
      <c r="Q1736"/>
      <c r="V1736" s="2"/>
    </row>
    <row r="1737" spans="17:22" x14ac:dyDescent="0.25">
      <c r="Q1737"/>
      <c r="V1737" s="2"/>
    </row>
    <row r="1738" spans="17:22" x14ac:dyDescent="0.25">
      <c r="Q1738"/>
      <c r="V1738" s="2"/>
    </row>
    <row r="1739" spans="17:22" x14ac:dyDescent="0.25">
      <c r="Q1739"/>
      <c r="V1739" s="2"/>
    </row>
    <row r="1740" spans="17:22" x14ac:dyDescent="0.25">
      <c r="Q1740"/>
      <c r="V1740" s="2"/>
    </row>
    <row r="1741" spans="17:22" x14ac:dyDescent="0.25">
      <c r="Q1741"/>
      <c r="V1741" s="2"/>
    </row>
    <row r="1742" spans="17:22" x14ac:dyDescent="0.25">
      <c r="Q1742"/>
      <c r="V1742" s="2"/>
    </row>
    <row r="1743" spans="17:22" x14ac:dyDescent="0.25">
      <c r="Q1743"/>
      <c r="V1743" s="2"/>
    </row>
    <row r="1744" spans="17:22" x14ac:dyDescent="0.25">
      <c r="Q1744"/>
      <c r="V1744" s="2"/>
    </row>
    <row r="1745" spans="17:22" x14ac:dyDescent="0.25">
      <c r="Q1745"/>
      <c r="V1745" s="2"/>
    </row>
    <row r="1746" spans="17:22" x14ac:dyDescent="0.25">
      <c r="Q1746"/>
      <c r="V1746" s="2"/>
    </row>
    <row r="1747" spans="17:22" x14ac:dyDescent="0.25">
      <c r="Q1747"/>
      <c r="V1747" s="2"/>
    </row>
    <row r="1748" spans="17:22" x14ac:dyDescent="0.25">
      <c r="Q1748"/>
      <c r="V1748" s="2"/>
    </row>
    <row r="1749" spans="17:22" x14ac:dyDescent="0.25">
      <c r="Q1749"/>
      <c r="V1749" s="2"/>
    </row>
    <row r="1750" spans="17:22" x14ac:dyDescent="0.25">
      <c r="Q1750"/>
      <c r="V1750" s="2"/>
    </row>
    <row r="1751" spans="17:22" x14ac:dyDescent="0.25">
      <c r="Q1751"/>
      <c r="V1751" s="2"/>
    </row>
    <row r="1752" spans="17:22" x14ac:dyDescent="0.25">
      <c r="Q1752"/>
      <c r="V1752" s="2"/>
    </row>
    <row r="1753" spans="17:22" x14ac:dyDescent="0.25">
      <c r="Q1753"/>
      <c r="V1753" s="2"/>
    </row>
    <row r="1754" spans="17:22" x14ac:dyDescent="0.25">
      <c r="Q1754"/>
      <c r="V1754" s="2"/>
    </row>
    <row r="1755" spans="17:22" x14ac:dyDescent="0.25">
      <c r="Q1755"/>
      <c r="V1755" s="2"/>
    </row>
    <row r="1756" spans="17:22" x14ac:dyDescent="0.25">
      <c r="Q1756"/>
      <c r="V1756" s="2"/>
    </row>
    <row r="1757" spans="17:22" x14ac:dyDescent="0.25">
      <c r="Q1757"/>
      <c r="V1757" s="2"/>
    </row>
    <row r="1758" spans="17:22" x14ac:dyDescent="0.25">
      <c r="Q1758"/>
      <c r="V1758" s="2"/>
    </row>
    <row r="1759" spans="17:22" x14ac:dyDescent="0.25">
      <c r="Q1759"/>
      <c r="V1759" s="2"/>
    </row>
    <row r="1760" spans="17:22" x14ac:dyDescent="0.25">
      <c r="Q1760"/>
      <c r="V1760" s="2"/>
    </row>
    <row r="1761" spans="17:22" x14ac:dyDescent="0.25">
      <c r="Q1761"/>
      <c r="V1761" s="2"/>
    </row>
    <row r="1762" spans="17:22" x14ac:dyDescent="0.25">
      <c r="Q1762"/>
      <c r="V1762" s="2"/>
    </row>
    <row r="1763" spans="17:22" x14ac:dyDescent="0.25">
      <c r="Q1763"/>
      <c r="V1763" s="2"/>
    </row>
    <row r="1764" spans="17:22" x14ac:dyDescent="0.25">
      <c r="Q1764"/>
      <c r="V1764" s="2"/>
    </row>
    <row r="1765" spans="17:22" x14ac:dyDescent="0.25">
      <c r="Q1765"/>
      <c r="V1765" s="2"/>
    </row>
    <row r="1766" spans="17:22" x14ac:dyDescent="0.25">
      <c r="Q1766"/>
      <c r="V1766" s="2"/>
    </row>
    <row r="1767" spans="17:22" x14ac:dyDescent="0.25">
      <c r="Q1767"/>
      <c r="V1767" s="2"/>
    </row>
    <row r="1768" spans="17:22" x14ac:dyDescent="0.25">
      <c r="Q1768"/>
      <c r="V1768" s="2"/>
    </row>
    <row r="1769" spans="17:22" x14ac:dyDescent="0.25">
      <c r="Q1769"/>
      <c r="V1769" s="2"/>
    </row>
    <row r="1770" spans="17:22" x14ac:dyDescent="0.25">
      <c r="Q1770"/>
      <c r="V1770" s="2"/>
    </row>
    <row r="1771" spans="17:22" x14ac:dyDescent="0.25">
      <c r="Q1771"/>
      <c r="V1771" s="2"/>
    </row>
    <row r="1772" spans="17:22" x14ac:dyDescent="0.25">
      <c r="Q1772"/>
      <c r="V1772" s="2"/>
    </row>
    <row r="1773" spans="17:22" x14ac:dyDescent="0.25">
      <c r="Q1773"/>
      <c r="V1773" s="2"/>
    </row>
    <row r="1774" spans="17:22" x14ac:dyDescent="0.25">
      <c r="Q1774"/>
      <c r="V1774" s="2"/>
    </row>
    <row r="1775" spans="17:22" x14ac:dyDescent="0.25">
      <c r="Q1775"/>
      <c r="V1775" s="2"/>
    </row>
    <row r="1776" spans="17:22" x14ac:dyDescent="0.25">
      <c r="Q1776"/>
      <c r="V1776" s="2"/>
    </row>
    <row r="1777" spans="17:22" x14ac:dyDescent="0.25">
      <c r="Q1777"/>
      <c r="V1777" s="2"/>
    </row>
    <row r="1778" spans="17:22" x14ac:dyDescent="0.25">
      <c r="Q1778"/>
      <c r="V1778" s="2"/>
    </row>
    <row r="1779" spans="17:22" x14ac:dyDescent="0.25">
      <c r="Q1779"/>
      <c r="V1779" s="2"/>
    </row>
    <row r="1780" spans="17:22" x14ac:dyDescent="0.25">
      <c r="Q1780"/>
      <c r="V1780" s="2"/>
    </row>
    <row r="1781" spans="17:22" x14ac:dyDescent="0.25">
      <c r="Q1781"/>
      <c r="V1781" s="2"/>
    </row>
    <row r="1782" spans="17:22" x14ac:dyDescent="0.25">
      <c r="Q1782"/>
      <c r="V1782" s="2"/>
    </row>
    <row r="1783" spans="17:22" x14ac:dyDescent="0.25">
      <c r="Q1783"/>
      <c r="V1783" s="2"/>
    </row>
    <row r="1784" spans="17:22" x14ac:dyDescent="0.25">
      <c r="Q1784"/>
      <c r="V1784" s="2"/>
    </row>
    <row r="1785" spans="17:22" x14ac:dyDescent="0.25">
      <c r="Q1785"/>
      <c r="V1785" s="2"/>
    </row>
    <row r="1786" spans="17:22" x14ac:dyDescent="0.25">
      <c r="Q1786"/>
      <c r="V1786" s="2"/>
    </row>
    <row r="1787" spans="17:22" x14ac:dyDescent="0.25">
      <c r="Q1787"/>
      <c r="V1787" s="2"/>
    </row>
    <row r="1788" spans="17:22" x14ac:dyDescent="0.25">
      <c r="Q1788"/>
      <c r="V1788" s="2"/>
    </row>
    <row r="1789" spans="17:22" x14ac:dyDescent="0.25">
      <c r="Q1789"/>
      <c r="V1789" s="2"/>
    </row>
    <row r="1790" spans="17:22" x14ac:dyDescent="0.25">
      <c r="Q1790"/>
      <c r="V1790" s="2"/>
    </row>
    <row r="1791" spans="17:22" x14ac:dyDescent="0.25">
      <c r="Q1791"/>
      <c r="V1791" s="2"/>
    </row>
    <row r="1792" spans="17:22" x14ac:dyDescent="0.25">
      <c r="Q1792"/>
      <c r="V1792" s="2"/>
    </row>
    <row r="1793" spans="17:22" x14ac:dyDescent="0.25">
      <c r="Q1793"/>
      <c r="V1793" s="2"/>
    </row>
    <row r="1794" spans="17:22" x14ac:dyDescent="0.25">
      <c r="Q1794"/>
      <c r="V1794" s="2"/>
    </row>
    <row r="1795" spans="17:22" x14ac:dyDescent="0.25">
      <c r="Q1795"/>
      <c r="V1795" s="2"/>
    </row>
    <row r="1796" spans="17:22" x14ac:dyDescent="0.25">
      <c r="Q1796"/>
      <c r="V1796" s="2"/>
    </row>
    <row r="1797" spans="17:22" x14ac:dyDescent="0.25">
      <c r="Q1797"/>
      <c r="V1797" s="2"/>
    </row>
    <row r="1798" spans="17:22" x14ac:dyDescent="0.25">
      <c r="Q1798"/>
      <c r="V1798" s="2"/>
    </row>
    <row r="1799" spans="17:22" x14ac:dyDescent="0.25">
      <c r="Q1799"/>
      <c r="V1799" s="2"/>
    </row>
    <row r="1800" spans="17:22" x14ac:dyDescent="0.25">
      <c r="Q1800"/>
      <c r="V1800" s="2"/>
    </row>
    <row r="1801" spans="17:22" x14ac:dyDescent="0.25">
      <c r="Q1801"/>
      <c r="V1801" s="2"/>
    </row>
    <row r="1802" spans="17:22" x14ac:dyDescent="0.25">
      <c r="Q1802"/>
      <c r="V1802" s="2"/>
    </row>
    <row r="1803" spans="17:22" x14ac:dyDescent="0.25">
      <c r="Q1803"/>
      <c r="V1803" s="2"/>
    </row>
    <row r="1804" spans="17:22" x14ac:dyDescent="0.25">
      <c r="Q1804"/>
      <c r="V1804" s="2"/>
    </row>
    <row r="1805" spans="17:22" x14ac:dyDescent="0.25">
      <c r="Q1805"/>
      <c r="V1805" s="2"/>
    </row>
    <row r="1806" spans="17:22" x14ac:dyDescent="0.25">
      <c r="Q1806"/>
      <c r="V1806" s="2"/>
    </row>
    <row r="1807" spans="17:22" x14ac:dyDescent="0.25">
      <c r="Q1807"/>
      <c r="V1807" s="2"/>
    </row>
    <row r="1808" spans="17:22" x14ac:dyDescent="0.25">
      <c r="Q1808"/>
      <c r="V1808" s="2"/>
    </row>
    <row r="1809" spans="17:22" x14ac:dyDescent="0.25">
      <c r="Q1809"/>
      <c r="V1809" s="2"/>
    </row>
    <row r="1810" spans="17:22" x14ac:dyDescent="0.25">
      <c r="Q1810"/>
      <c r="V1810" s="2"/>
    </row>
    <row r="1811" spans="17:22" x14ac:dyDescent="0.25">
      <c r="Q1811"/>
      <c r="V1811" s="2"/>
    </row>
    <row r="1812" spans="17:22" x14ac:dyDescent="0.25">
      <c r="Q1812"/>
      <c r="V1812" s="2"/>
    </row>
    <row r="1813" spans="17:22" x14ac:dyDescent="0.25">
      <c r="Q1813"/>
      <c r="V1813" s="2"/>
    </row>
    <row r="1814" spans="17:22" x14ac:dyDescent="0.25">
      <c r="Q1814"/>
      <c r="V1814" s="2"/>
    </row>
    <row r="1815" spans="17:22" x14ac:dyDescent="0.25">
      <c r="Q1815"/>
      <c r="V1815" s="2"/>
    </row>
    <row r="1816" spans="17:22" x14ac:dyDescent="0.25">
      <c r="Q1816"/>
      <c r="V1816" s="2"/>
    </row>
    <row r="1817" spans="17:22" x14ac:dyDescent="0.25">
      <c r="Q1817"/>
      <c r="V1817" s="2"/>
    </row>
    <row r="1818" spans="17:22" x14ac:dyDescent="0.25">
      <c r="Q1818"/>
      <c r="V1818" s="2"/>
    </row>
    <row r="1819" spans="17:22" x14ac:dyDescent="0.25">
      <c r="Q1819"/>
      <c r="V1819" s="2"/>
    </row>
    <row r="1820" spans="17:22" x14ac:dyDescent="0.25">
      <c r="Q1820"/>
      <c r="V1820" s="2"/>
    </row>
    <row r="1821" spans="17:22" x14ac:dyDescent="0.25">
      <c r="Q1821"/>
      <c r="V1821" s="2"/>
    </row>
    <row r="1822" spans="17:22" x14ac:dyDescent="0.25">
      <c r="Q1822"/>
      <c r="V1822" s="2"/>
    </row>
    <row r="1823" spans="17:22" x14ac:dyDescent="0.25">
      <c r="Q1823"/>
      <c r="V1823" s="2"/>
    </row>
    <row r="1824" spans="17:22" x14ac:dyDescent="0.25">
      <c r="Q1824"/>
      <c r="V1824" s="2"/>
    </row>
    <row r="1825" spans="17:22" x14ac:dyDescent="0.25">
      <c r="Q1825"/>
      <c r="V1825" s="2"/>
    </row>
    <row r="1826" spans="17:22" x14ac:dyDescent="0.25">
      <c r="Q1826"/>
      <c r="V1826" s="2"/>
    </row>
    <row r="1827" spans="17:22" x14ac:dyDescent="0.25">
      <c r="Q1827"/>
      <c r="V1827" s="2"/>
    </row>
    <row r="1828" spans="17:22" x14ac:dyDescent="0.25">
      <c r="Q1828"/>
      <c r="V1828" s="2"/>
    </row>
    <row r="1829" spans="17:22" x14ac:dyDescent="0.25">
      <c r="Q1829"/>
      <c r="V1829" s="2"/>
    </row>
    <row r="1830" spans="17:22" x14ac:dyDescent="0.25">
      <c r="Q1830"/>
      <c r="V1830" s="2"/>
    </row>
    <row r="1831" spans="17:22" x14ac:dyDescent="0.25">
      <c r="Q1831"/>
      <c r="V1831" s="2"/>
    </row>
    <row r="1832" spans="17:22" x14ac:dyDescent="0.25">
      <c r="Q1832"/>
      <c r="V1832" s="2"/>
    </row>
    <row r="1833" spans="17:22" x14ac:dyDescent="0.25">
      <c r="Q1833"/>
      <c r="V1833" s="2"/>
    </row>
    <row r="1834" spans="17:22" x14ac:dyDescent="0.25">
      <c r="Q1834"/>
      <c r="V1834" s="2"/>
    </row>
    <row r="1835" spans="17:22" x14ac:dyDescent="0.25">
      <c r="Q1835"/>
      <c r="V1835" s="2"/>
    </row>
    <row r="1836" spans="17:22" x14ac:dyDescent="0.25">
      <c r="Q1836"/>
      <c r="V1836" s="2"/>
    </row>
    <row r="1837" spans="17:22" x14ac:dyDescent="0.25">
      <c r="Q1837"/>
      <c r="V1837" s="2"/>
    </row>
    <row r="1838" spans="17:22" x14ac:dyDescent="0.25">
      <c r="Q1838"/>
      <c r="V1838" s="2"/>
    </row>
    <row r="1839" spans="17:22" x14ac:dyDescent="0.25">
      <c r="Q1839"/>
      <c r="V1839" s="2"/>
    </row>
    <row r="1840" spans="17:22" x14ac:dyDescent="0.25">
      <c r="Q1840"/>
      <c r="V1840" s="2"/>
    </row>
    <row r="1841" spans="17:22" x14ac:dyDescent="0.25">
      <c r="Q1841"/>
      <c r="V1841" s="2"/>
    </row>
    <row r="1842" spans="17:22" x14ac:dyDescent="0.25">
      <c r="Q1842"/>
      <c r="V1842" s="2"/>
    </row>
    <row r="1843" spans="17:22" x14ac:dyDescent="0.25">
      <c r="Q1843"/>
      <c r="V1843" s="2"/>
    </row>
    <row r="1844" spans="17:22" x14ac:dyDescent="0.25">
      <c r="Q1844"/>
      <c r="V1844" s="2"/>
    </row>
    <row r="1845" spans="17:22" x14ac:dyDescent="0.25">
      <c r="Q1845"/>
      <c r="V1845" s="2"/>
    </row>
    <row r="1846" spans="17:22" x14ac:dyDescent="0.25">
      <c r="Q1846"/>
      <c r="V1846" s="2"/>
    </row>
    <row r="1847" spans="17:22" x14ac:dyDescent="0.25">
      <c r="Q1847"/>
      <c r="V1847" s="2"/>
    </row>
    <row r="1848" spans="17:22" x14ac:dyDescent="0.25">
      <c r="Q1848"/>
      <c r="V1848" s="2"/>
    </row>
    <row r="1849" spans="17:22" x14ac:dyDescent="0.25">
      <c r="Q1849"/>
      <c r="V1849" s="2"/>
    </row>
    <row r="1850" spans="17:22" x14ac:dyDescent="0.25">
      <c r="Q1850"/>
      <c r="V1850" s="2"/>
    </row>
    <row r="1851" spans="17:22" x14ac:dyDescent="0.25">
      <c r="Q1851"/>
      <c r="V1851" s="2"/>
    </row>
    <row r="1852" spans="17:22" x14ac:dyDescent="0.25">
      <c r="Q1852"/>
      <c r="V1852" s="2"/>
    </row>
    <row r="1853" spans="17:22" x14ac:dyDescent="0.25">
      <c r="Q1853"/>
      <c r="V1853" s="2"/>
    </row>
    <row r="1854" spans="17:22" x14ac:dyDescent="0.25">
      <c r="Q1854"/>
      <c r="V1854" s="2"/>
    </row>
    <row r="1855" spans="17:22" x14ac:dyDescent="0.25">
      <c r="Q1855"/>
      <c r="V1855" s="2"/>
    </row>
    <row r="1856" spans="17:22" x14ac:dyDescent="0.25">
      <c r="Q1856"/>
      <c r="V1856" s="2"/>
    </row>
    <row r="1857" spans="17:22" x14ac:dyDescent="0.25">
      <c r="Q1857"/>
      <c r="V1857" s="2"/>
    </row>
    <row r="1858" spans="17:22" x14ac:dyDescent="0.25">
      <c r="Q1858"/>
      <c r="V1858" s="2"/>
    </row>
    <row r="1859" spans="17:22" x14ac:dyDescent="0.25">
      <c r="Q1859"/>
      <c r="V1859" s="2"/>
    </row>
    <row r="1860" spans="17:22" x14ac:dyDescent="0.25">
      <c r="Q1860"/>
      <c r="V1860" s="2"/>
    </row>
    <row r="1861" spans="17:22" x14ac:dyDescent="0.25">
      <c r="Q1861"/>
      <c r="V1861" s="2"/>
    </row>
    <row r="1862" spans="17:22" x14ac:dyDescent="0.25">
      <c r="Q1862"/>
      <c r="V1862" s="2"/>
    </row>
    <row r="1863" spans="17:22" x14ac:dyDescent="0.25">
      <c r="Q1863"/>
      <c r="V1863" s="2"/>
    </row>
    <row r="1864" spans="17:22" x14ac:dyDescent="0.25">
      <c r="Q1864"/>
      <c r="V1864" s="2"/>
    </row>
    <row r="1865" spans="17:22" x14ac:dyDescent="0.25">
      <c r="Q1865"/>
      <c r="V1865" s="2"/>
    </row>
    <row r="1866" spans="17:22" x14ac:dyDescent="0.25">
      <c r="Q1866"/>
      <c r="V1866" s="2"/>
    </row>
    <row r="1867" spans="17:22" x14ac:dyDescent="0.25">
      <c r="Q1867"/>
      <c r="V1867" s="2"/>
    </row>
    <row r="1868" spans="17:22" x14ac:dyDescent="0.25">
      <c r="Q1868"/>
      <c r="V1868" s="2"/>
    </row>
    <row r="1869" spans="17:22" x14ac:dyDescent="0.25">
      <c r="Q1869"/>
      <c r="V1869" s="2"/>
    </row>
    <row r="1870" spans="17:22" x14ac:dyDescent="0.25">
      <c r="Q1870"/>
      <c r="V1870" s="2"/>
    </row>
    <row r="1871" spans="17:22" x14ac:dyDescent="0.25">
      <c r="Q1871"/>
      <c r="V1871" s="2"/>
    </row>
    <row r="1872" spans="17:22" x14ac:dyDescent="0.25">
      <c r="Q1872"/>
      <c r="V1872" s="2"/>
    </row>
    <row r="1873" spans="17:22" x14ac:dyDescent="0.25">
      <c r="Q1873"/>
      <c r="V1873" s="2"/>
    </row>
    <row r="1874" spans="17:22" x14ac:dyDescent="0.25">
      <c r="Q1874"/>
      <c r="V1874" s="2"/>
    </row>
    <row r="1875" spans="17:22" x14ac:dyDescent="0.25">
      <c r="Q1875"/>
      <c r="V1875" s="2"/>
    </row>
    <row r="1876" spans="17:22" x14ac:dyDescent="0.25">
      <c r="Q1876"/>
      <c r="V1876" s="2"/>
    </row>
    <row r="1877" spans="17:22" x14ac:dyDescent="0.25">
      <c r="Q1877"/>
      <c r="V1877" s="2"/>
    </row>
    <row r="1878" spans="17:22" x14ac:dyDescent="0.25">
      <c r="Q1878"/>
      <c r="V1878" s="2"/>
    </row>
    <row r="1879" spans="17:22" x14ac:dyDescent="0.25">
      <c r="Q1879"/>
      <c r="V1879" s="2"/>
    </row>
    <row r="1880" spans="17:22" x14ac:dyDescent="0.25">
      <c r="Q1880"/>
      <c r="V1880" s="2"/>
    </row>
    <row r="1881" spans="17:22" x14ac:dyDescent="0.25">
      <c r="Q1881"/>
      <c r="V1881" s="2"/>
    </row>
    <row r="1882" spans="17:22" x14ac:dyDescent="0.25">
      <c r="Q1882"/>
      <c r="V1882" s="2"/>
    </row>
    <row r="1883" spans="17:22" x14ac:dyDescent="0.25">
      <c r="Q1883"/>
      <c r="V1883" s="2"/>
    </row>
    <row r="1884" spans="17:22" x14ac:dyDescent="0.25">
      <c r="Q1884"/>
      <c r="V1884" s="2"/>
    </row>
    <row r="1885" spans="17:22" x14ac:dyDescent="0.25">
      <c r="Q1885"/>
      <c r="V1885" s="2"/>
    </row>
    <row r="1886" spans="17:22" x14ac:dyDescent="0.25">
      <c r="Q1886"/>
      <c r="V1886" s="2"/>
    </row>
    <row r="1887" spans="17:22" x14ac:dyDescent="0.25">
      <c r="Q1887"/>
      <c r="V1887" s="2"/>
    </row>
    <row r="1888" spans="17:22" x14ac:dyDescent="0.25">
      <c r="Q1888"/>
      <c r="V1888" s="2"/>
    </row>
    <row r="1889" spans="17:22" x14ac:dyDescent="0.25">
      <c r="Q1889"/>
      <c r="V1889" s="2"/>
    </row>
    <row r="1890" spans="17:22" x14ac:dyDescent="0.25">
      <c r="Q1890"/>
      <c r="V1890" s="2"/>
    </row>
    <row r="1891" spans="17:22" x14ac:dyDescent="0.25">
      <c r="Q1891"/>
      <c r="V1891" s="2"/>
    </row>
    <row r="1892" spans="17:22" x14ac:dyDescent="0.25">
      <c r="Q1892"/>
      <c r="V1892" s="2"/>
    </row>
    <row r="1893" spans="17:22" x14ac:dyDescent="0.25">
      <c r="Q1893"/>
      <c r="V1893" s="2"/>
    </row>
    <row r="1894" spans="17:22" x14ac:dyDescent="0.25">
      <c r="Q1894"/>
      <c r="V1894" s="2"/>
    </row>
    <row r="1895" spans="17:22" x14ac:dyDescent="0.25">
      <c r="Q1895"/>
      <c r="V1895" s="2"/>
    </row>
    <row r="1896" spans="17:22" x14ac:dyDescent="0.25">
      <c r="Q1896"/>
      <c r="V1896" s="2"/>
    </row>
    <row r="1897" spans="17:22" x14ac:dyDescent="0.25">
      <c r="Q1897"/>
      <c r="V1897" s="2"/>
    </row>
    <row r="1898" spans="17:22" x14ac:dyDescent="0.25">
      <c r="Q1898"/>
      <c r="V1898" s="2"/>
    </row>
    <row r="1899" spans="17:22" x14ac:dyDescent="0.25">
      <c r="Q1899"/>
      <c r="V1899" s="2"/>
    </row>
    <row r="1900" spans="17:22" x14ac:dyDescent="0.25">
      <c r="Q1900"/>
      <c r="V1900" s="2"/>
    </row>
    <row r="1901" spans="17:22" x14ac:dyDescent="0.25">
      <c r="Q1901"/>
      <c r="V1901" s="2"/>
    </row>
    <row r="1902" spans="17:22" x14ac:dyDescent="0.25">
      <c r="Q1902"/>
      <c r="V1902" s="2"/>
    </row>
    <row r="1903" spans="17:22" x14ac:dyDescent="0.25">
      <c r="Q1903"/>
      <c r="V1903" s="2"/>
    </row>
    <row r="1904" spans="17:22" x14ac:dyDescent="0.25">
      <c r="Q1904"/>
      <c r="V1904" s="2"/>
    </row>
    <row r="1905" spans="17:22" x14ac:dyDescent="0.25">
      <c r="Q1905"/>
      <c r="V1905" s="2"/>
    </row>
    <row r="1906" spans="17:22" x14ac:dyDescent="0.25">
      <c r="Q1906"/>
      <c r="V1906" s="2"/>
    </row>
    <row r="1907" spans="17:22" x14ac:dyDescent="0.25">
      <c r="Q1907"/>
      <c r="V1907" s="2"/>
    </row>
    <row r="1908" spans="17:22" x14ac:dyDescent="0.25">
      <c r="Q1908"/>
      <c r="V1908" s="2"/>
    </row>
    <row r="1909" spans="17:22" x14ac:dyDescent="0.25">
      <c r="Q1909"/>
      <c r="V1909" s="2"/>
    </row>
    <row r="1910" spans="17:22" x14ac:dyDescent="0.25">
      <c r="Q1910"/>
      <c r="V1910" s="2"/>
    </row>
    <row r="1911" spans="17:22" x14ac:dyDescent="0.25">
      <c r="Q1911"/>
      <c r="V1911" s="2"/>
    </row>
    <row r="1912" spans="17:22" x14ac:dyDescent="0.25">
      <c r="Q1912"/>
      <c r="V1912" s="2"/>
    </row>
    <row r="1913" spans="17:22" x14ac:dyDescent="0.25">
      <c r="Q1913"/>
      <c r="V1913" s="2"/>
    </row>
    <row r="1914" spans="17:22" x14ac:dyDescent="0.25">
      <c r="Q1914"/>
      <c r="V1914" s="2"/>
    </row>
    <row r="1915" spans="17:22" x14ac:dyDescent="0.25">
      <c r="Q1915"/>
      <c r="V1915" s="2"/>
    </row>
    <row r="1916" spans="17:22" x14ac:dyDescent="0.25">
      <c r="Q1916"/>
      <c r="V1916" s="2"/>
    </row>
    <row r="1917" spans="17:22" x14ac:dyDescent="0.25">
      <c r="Q1917"/>
      <c r="V1917" s="2"/>
    </row>
    <row r="1918" spans="17:22" x14ac:dyDescent="0.25">
      <c r="Q1918"/>
      <c r="V1918" s="2"/>
    </row>
    <row r="1919" spans="17:22" x14ac:dyDescent="0.25">
      <c r="Q1919"/>
      <c r="V1919" s="2"/>
    </row>
    <row r="1920" spans="17:22" x14ac:dyDescent="0.25">
      <c r="Q1920"/>
      <c r="V1920" s="2"/>
    </row>
    <row r="1921" spans="17:22" x14ac:dyDescent="0.25">
      <c r="Q1921"/>
      <c r="V1921" s="2"/>
    </row>
    <row r="1922" spans="17:22" x14ac:dyDescent="0.25">
      <c r="Q1922"/>
      <c r="V1922" s="2"/>
    </row>
    <row r="1923" spans="17:22" x14ac:dyDescent="0.25">
      <c r="Q1923"/>
      <c r="V1923" s="2"/>
    </row>
    <row r="1924" spans="17:22" x14ac:dyDescent="0.25">
      <c r="Q1924"/>
      <c r="V1924" s="2"/>
    </row>
    <row r="1925" spans="17:22" x14ac:dyDescent="0.25">
      <c r="Q1925"/>
      <c r="V1925" s="2"/>
    </row>
    <row r="1926" spans="17:22" x14ac:dyDescent="0.25">
      <c r="Q1926"/>
      <c r="V1926" s="2"/>
    </row>
    <row r="1927" spans="17:22" x14ac:dyDescent="0.25">
      <c r="Q1927"/>
      <c r="V1927" s="2"/>
    </row>
    <row r="1928" spans="17:22" x14ac:dyDescent="0.25">
      <c r="Q1928"/>
      <c r="V1928" s="2"/>
    </row>
    <row r="1929" spans="17:22" x14ac:dyDescent="0.25">
      <c r="Q1929"/>
      <c r="V1929" s="2"/>
    </row>
    <row r="1930" spans="17:22" x14ac:dyDescent="0.25">
      <c r="Q1930"/>
      <c r="V1930" s="2"/>
    </row>
    <row r="1931" spans="17:22" x14ac:dyDescent="0.25">
      <c r="Q1931"/>
      <c r="V1931" s="2"/>
    </row>
    <row r="1932" spans="17:22" x14ac:dyDescent="0.25">
      <c r="Q1932"/>
      <c r="V1932" s="2"/>
    </row>
    <row r="1933" spans="17:22" x14ac:dyDescent="0.25">
      <c r="Q1933"/>
      <c r="V1933" s="2"/>
    </row>
    <row r="1934" spans="17:22" x14ac:dyDescent="0.25">
      <c r="Q1934"/>
      <c r="V1934" s="2"/>
    </row>
    <row r="1935" spans="17:22" x14ac:dyDescent="0.25">
      <c r="Q1935"/>
      <c r="V1935" s="2"/>
    </row>
    <row r="1936" spans="17:22" x14ac:dyDescent="0.25">
      <c r="Q1936"/>
      <c r="V1936" s="2"/>
    </row>
    <row r="1937" spans="17:22" x14ac:dyDescent="0.25">
      <c r="Q1937"/>
      <c r="V1937" s="2"/>
    </row>
    <row r="1938" spans="17:22" x14ac:dyDescent="0.25">
      <c r="Q1938"/>
      <c r="V1938" s="2"/>
    </row>
    <row r="1939" spans="17:22" x14ac:dyDescent="0.25">
      <c r="Q1939"/>
      <c r="V1939" s="2"/>
    </row>
    <row r="1940" spans="17:22" x14ac:dyDescent="0.25">
      <c r="Q1940"/>
      <c r="V1940" s="2"/>
    </row>
    <row r="1941" spans="17:22" x14ac:dyDescent="0.25">
      <c r="Q1941"/>
      <c r="V1941" s="2"/>
    </row>
    <row r="1942" spans="17:22" x14ac:dyDescent="0.25">
      <c r="Q1942"/>
      <c r="V1942" s="2"/>
    </row>
    <row r="1943" spans="17:22" x14ac:dyDescent="0.25">
      <c r="Q1943"/>
      <c r="V1943" s="2"/>
    </row>
    <row r="1944" spans="17:22" x14ac:dyDescent="0.25">
      <c r="Q1944"/>
      <c r="V1944" s="2"/>
    </row>
    <row r="1945" spans="17:22" x14ac:dyDescent="0.25">
      <c r="Q1945"/>
      <c r="V1945" s="2"/>
    </row>
    <row r="1946" spans="17:22" x14ac:dyDescent="0.25">
      <c r="Q1946"/>
      <c r="V1946" s="2"/>
    </row>
    <row r="1947" spans="17:22" x14ac:dyDescent="0.25">
      <c r="Q1947"/>
      <c r="V1947" s="2"/>
    </row>
    <row r="1948" spans="17:22" x14ac:dyDescent="0.25">
      <c r="Q1948"/>
      <c r="V1948" s="2"/>
    </row>
    <row r="1949" spans="17:22" x14ac:dyDescent="0.25">
      <c r="Q1949"/>
      <c r="V1949" s="2"/>
    </row>
    <row r="1950" spans="17:22" x14ac:dyDescent="0.25">
      <c r="Q1950"/>
      <c r="V1950" s="2"/>
    </row>
    <row r="1951" spans="17:22" x14ac:dyDescent="0.25">
      <c r="Q1951"/>
      <c r="V1951" s="2"/>
    </row>
    <row r="1952" spans="17:22" x14ac:dyDescent="0.25">
      <c r="Q1952"/>
      <c r="V1952" s="2"/>
    </row>
    <row r="1953" spans="17:22" x14ac:dyDescent="0.25">
      <c r="Q1953"/>
      <c r="V1953" s="2"/>
    </row>
    <row r="1954" spans="17:22" x14ac:dyDescent="0.25">
      <c r="Q1954"/>
      <c r="V1954" s="2"/>
    </row>
    <row r="1955" spans="17:22" x14ac:dyDescent="0.25">
      <c r="Q1955"/>
      <c r="V1955" s="2"/>
    </row>
    <row r="1956" spans="17:22" x14ac:dyDescent="0.25">
      <c r="Q1956"/>
      <c r="V1956" s="2"/>
    </row>
    <row r="1957" spans="17:22" x14ac:dyDescent="0.25">
      <c r="Q1957"/>
      <c r="V1957" s="2"/>
    </row>
    <row r="1958" spans="17:22" x14ac:dyDescent="0.25">
      <c r="Q1958"/>
      <c r="V1958" s="2"/>
    </row>
    <row r="1959" spans="17:22" x14ac:dyDescent="0.25">
      <c r="Q1959"/>
      <c r="V1959" s="2"/>
    </row>
    <row r="1960" spans="17:22" x14ac:dyDescent="0.25">
      <c r="Q1960"/>
      <c r="V1960" s="2"/>
    </row>
    <row r="1961" spans="17:22" x14ac:dyDescent="0.25">
      <c r="Q1961"/>
      <c r="V1961" s="2"/>
    </row>
    <row r="1962" spans="17:22" x14ac:dyDescent="0.25">
      <c r="Q1962"/>
      <c r="V1962" s="2"/>
    </row>
    <row r="1963" spans="17:22" x14ac:dyDescent="0.25">
      <c r="Q1963"/>
      <c r="V1963" s="2"/>
    </row>
    <row r="1964" spans="17:22" x14ac:dyDescent="0.25">
      <c r="Q1964"/>
      <c r="V1964" s="2"/>
    </row>
    <row r="1965" spans="17:22" x14ac:dyDescent="0.25">
      <c r="Q1965"/>
      <c r="V1965" s="2"/>
    </row>
    <row r="1966" spans="17:22" x14ac:dyDescent="0.25">
      <c r="Q1966"/>
      <c r="V1966" s="2"/>
    </row>
    <row r="1967" spans="17:22" x14ac:dyDescent="0.25">
      <c r="Q1967"/>
      <c r="V1967" s="2"/>
    </row>
    <row r="1968" spans="17:22" x14ac:dyDescent="0.25">
      <c r="Q1968"/>
      <c r="V1968" s="2"/>
    </row>
    <row r="1969" spans="17:22" x14ac:dyDescent="0.25">
      <c r="Q1969"/>
      <c r="V1969" s="2"/>
    </row>
    <row r="1970" spans="17:22" x14ac:dyDescent="0.25">
      <c r="Q1970"/>
      <c r="V1970" s="2"/>
    </row>
    <row r="1971" spans="17:22" x14ac:dyDescent="0.25">
      <c r="Q1971"/>
      <c r="V1971" s="2"/>
    </row>
    <row r="1972" spans="17:22" x14ac:dyDescent="0.25">
      <c r="Q1972"/>
      <c r="V1972" s="2"/>
    </row>
    <row r="1973" spans="17:22" x14ac:dyDescent="0.25">
      <c r="Q1973"/>
      <c r="V1973" s="2"/>
    </row>
    <row r="1974" spans="17:22" x14ac:dyDescent="0.25">
      <c r="Q1974"/>
      <c r="V1974" s="2"/>
    </row>
    <row r="1975" spans="17:22" x14ac:dyDescent="0.25">
      <c r="Q1975"/>
      <c r="V1975" s="2"/>
    </row>
    <row r="1976" spans="17:22" x14ac:dyDescent="0.25">
      <c r="Q1976"/>
      <c r="V1976" s="2"/>
    </row>
    <row r="1977" spans="17:22" x14ac:dyDescent="0.25">
      <c r="Q1977"/>
      <c r="V1977" s="2"/>
    </row>
    <row r="1978" spans="17:22" x14ac:dyDescent="0.25">
      <c r="Q1978"/>
      <c r="V1978" s="2"/>
    </row>
    <row r="1979" spans="17:22" x14ac:dyDescent="0.25">
      <c r="Q1979"/>
      <c r="V1979" s="2"/>
    </row>
    <row r="1980" spans="17:22" x14ac:dyDescent="0.25">
      <c r="Q1980"/>
      <c r="V1980" s="2"/>
    </row>
    <row r="1981" spans="17:22" x14ac:dyDescent="0.25">
      <c r="Q1981"/>
      <c r="V1981" s="2"/>
    </row>
    <row r="1982" spans="17:22" x14ac:dyDescent="0.25">
      <c r="Q1982"/>
      <c r="V1982" s="2"/>
    </row>
    <row r="1983" spans="17:22" x14ac:dyDescent="0.25">
      <c r="Q1983"/>
      <c r="V1983" s="2"/>
    </row>
    <row r="1984" spans="17:22" x14ac:dyDescent="0.25">
      <c r="Q1984"/>
      <c r="V1984" s="2"/>
    </row>
    <row r="1985" spans="17:22" x14ac:dyDescent="0.25">
      <c r="Q1985"/>
      <c r="V1985" s="2"/>
    </row>
    <row r="1986" spans="17:22" x14ac:dyDescent="0.25">
      <c r="Q1986"/>
      <c r="V1986" s="2"/>
    </row>
    <row r="1987" spans="17:22" x14ac:dyDescent="0.25">
      <c r="Q1987"/>
      <c r="V1987" s="2"/>
    </row>
    <row r="1988" spans="17:22" x14ac:dyDescent="0.25">
      <c r="Q1988"/>
      <c r="V1988" s="2"/>
    </row>
    <row r="1989" spans="17:22" x14ac:dyDescent="0.25">
      <c r="Q1989"/>
      <c r="V1989" s="2"/>
    </row>
    <row r="1990" spans="17:22" x14ac:dyDescent="0.25">
      <c r="Q1990"/>
      <c r="V1990" s="2"/>
    </row>
    <row r="1991" spans="17:22" x14ac:dyDescent="0.25">
      <c r="Q1991"/>
      <c r="V1991" s="2"/>
    </row>
    <row r="1992" spans="17:22" x14ac:dyDescent="0.25">
      <c r="Q1992"/>
      <c r="V1992" s="2"/>
    </row>
    <row r="1993" spans="17:22" x14ac:dyDescent="0.25">
      <c r="Q1993"/>
      <c r="V1993" s="2"/>
    </row>
    <row r="1994" spans="17:22" x14ac:dyDescent="0.25">
      <c r="Q1994"/>
      <c r="V1994" s="2"/>
    </row>
    <row r="1995" spans="17:22" x14ac:dyDescent="0.25">
      <c r="Q1995"/>
      <c r="V1995" s="2"/>
    </row>
    <row r="1996" spans="17:22" x14ac:dyDescent="0.25">
      <c r="Q1996"/>
      <c r="V1996" s="2"/>
    </row>
    <row r="1997" spans="17:22" x14ac:dyDescent="0.25">
      <c r="Q1997"/>
      <c r="V1997" s="2"/>
    </row>
    <row r="1998" spans="17:22" x14ac:dyDescent="0.25">
      <c r="Q1998"/>
      <c r="V1998" s="2"/>
    </row>
    <row r="1999" spans="17:22" x14ac:dyDescent="0.25">
      <c r="Q1999"/>
      <c r="V1999" s="2"/>
    </row>
    <row r="2000" spans="17:22" x14ac:dyDescent="0.25">
      <c r="Q2000"/>
      <c r="V2000" s="2"/>
    </row>
    <row r="2001" spans="17:22" x14ac:dyDescent="0.25">
      <c r="Q2001"/>
      <c r="V2001" s="2"/>
    </row>
    <row r="2002" spans="17:22" x14ac:dyDescent="0.25">
      <c r="Q2002"/>
      <c r="V2002" s="2"/>
    </row>
    <row r="2003" spans="17:22" x14ac:dyDescent="0.25">
      <c r="Q2003"/>
      <c r="V2003" s="2"/>
    </row>
    <row r="2004" spans="17:22" x14ac:dyDescent="0.25">
      <c r="Q2004"/>
      <c r="V2004" s="2"/>
    </row>
    <row r="2005" spans="17:22" x14ac:dyDescent="0.25">
      <c r="Q2005"/>
      <c r="V2005" s="2"/>
    </row>
    <row r="2006" spans="17:22" x14ac:dyDescent="0.25">
      <c r="Q2006"/>
      <c r="V2006" s="2"/>
    </row>
    <row r="2007" spans="17:22" x14ac:dyDescent="0.25">
      <c r="Q2007"/>
      <c r="V2007" s="2"/>
    </row>
    <row r="2008" spans="17:22" x14ac:dyDescent="0.25">
      <c r="Q2008"/>
      <c r="V2008" s="2"/>
    </row>
    <row r="2009" spans="17:22" x14ac:dyDescent="0.25">
      <c r="Q2009"/>
      <c r="V2009" s="2"/>
    </row>
    <row r="2010" spans="17:22" x14ac:dyDescent="0.25">
      <c r="Q2010"/>
      <c r="V2010" s="2"/>
    </row>
    <row r="2011" spans="17:22" x14ac:dyDescent="0.25">
      <c r="Q2011"/>
      <c r="V2011" s="2"/>
    </row>
    <row r="2012" spans="17:22" x14ac:dyDescent="0.25">
      <c r="Q2012"/>
      <c r="V2012" s="2"/>
    </row>
    <row r="2013" spans="17:22" x14ac:dyDescent="0.25">
      <c r="Q2013"/>
      <c r="V2013" s="2"/>
    </row>
    <row r="2014" spans="17:22" x14ac:dyDescent="0.25">
      <c r="Q2014"/>
      <c r="V2014" s="2"/>
    </row>
    <row r="2015" spans="17:22" x14ac:dyDescent="0.25">
      <c r="Q2015"/>
      <c r="V2015" s="2"/>
    </row>
    <row r="2016" spans="17:22" x14ac:dyDescent="0.25">
      <c r="Q2016"/>
      <c r="V2016" s="2"/>
    </row>
    <row r="2017" spans="17:22" x14ac:dyDescent="0.25">
      <c r="Q2017"/>
      <c r="V2017" s="2"/>
    </row>
    <row r="2018" spans="17:22" x14ac:dyDescent="0.25">
      <c r="Q2018"/>
      <c r="V2018" s="2"/>
    </row>
    <row r="2019" spans="17:22" x14ac:dyDescent="0.25">
      <c r="Q2019"/>
      <c r="V2019" s="2"/>
    </row>
    <row r="2020" spans="17:22" x14ac:dyDescent="0.25">
      <c r="Q2020"/>
      <c r="V2020" s="2"/>
    </row>
    <row r="2021" spans="17:22" x14ac:dyDescent="0.25">
      <c r="Q2021"/>
      <c r="V2021" s="2"/>
    </row>
    <row r="2022" spans="17:22" x14ac:dyDescent="0.25">
      <c r="Q2022"/>
      <c r="V2022" s="2"/>
    </row>
    <row r="2023" spans="17:22" x14ac:dyDescent="0.25">
      <c r="Q2023"/>
      <c r="V2023" s="2"/>
    </row>
    <row r="2024" spans="17:22" x14ac:dyDescent="0.25">
      <c r="Q2024"/>
      <c r="V2024" s="2"/>
    </row>
    <row r="2025" spans="17:22" x14ac:dyDescent="0.25">
      <c r="Q2025"/>
      <c r="V2025" s="2"/>
    </row>
    <row r="2026" spans="17:22" x14ac:dyDescent="0.25">
      <c r="Q2026"/>
      <c r="V2026" s="2"/>
    </row>
    <row r="2027" spans="17:22" x14ac:dyDescent="0.25">
      <c r="Q2027"/>
      <c r="V2027" s="2"/>
    </row>
    <row r="2028" spans="17:22" x14ac:dyDescent="0.25">
      <c r="Q2028"/>
      <c r="V2028" s="2"/>
    </row>
    <row r="2029" spans="17:22" x14ac:dyDescent="0.25">
      <c r="Q2029"/>
      <c r="V2029" s="2"/>
    </row>
    <row r="2030" spans="17:22" x14ac:dyDescent="0.25">
      <c r="Q2030"/>
      <c r="V2030" s="2"/>
    </row>
    <row r="2031" spans="17:22" x14ac:dyDescent="0.25">
      <c r="Q2031"/>
      <c r="V2031" s="2"/>
    </row>
    <row r="2032" spans="17:22" x14ac:dyDescent="0.25">
      <c r="Q2032"/>
      <c r="V2032" s="2"/>
    </row>
    <row r="2033" spans="17:22" x14ac:dyDescent="0.25">
      <c r="Q2033"/>
      <c r="V2033" s="2"/>
    </row>
    <row r="2034" spans="17:22" x14ac:dyDescent="0.25">
      <c r="Q2034"/>
      <c r="V2034" s="2"/>
    </row>
    <row r="2035" spans="17:22" x14ac:dyDescent="0.25">
      <c r="Q2035"/>
      <c r="V2035" s="2"/>
    </row>
    <row r="2036" spans="17:22" x14ac:dyDescent="0.25">
      <c r="Q2036"/>
      <c r="V2036" s="2"/>
    </row>
    <row r="2037" spans="17:22" x14ac:dyDescent="0.25">
      <c r="Q2037"/>
      <c r="V2037" s="2"/>
    </row>
    <row r="2038" spans="17:22" x14ac:dyDescent="0.25">
      <c r="Q2038"/>
      <c r="V2038" s="2"/>
    </row>
    <row r="2039" spans="17:22" x14ac:dyDescent="0.25">
      <c r="Q2039"/>
      <c r="V2039" s="2"/>
    </row>
    <row r="2040" spans="17:22" x14ac:dyDescent="0.25">
      <c r="Q2040"/>
      <c r="V2040" s="2"/>
    </row>
    <row r="2041" spans="17:22" x14ac:dyDescent="0.25">
      <c r="Q2041"/>
      <c r="V2041" s="2"/>
    </row>
    <row r="2042" spans="17:22" x14ac:dyDescent="0.25">
      <c r="Q2042"/>
      <c r="V2042" s="2"/>
    </row>
    <row r="2043" spans="17:22" x14ac:dyDescent="0.25">
      <c r="Q2043"/>
      <c r="V2043" s="2"/>
    </row>
    <row r="2044" spans="17:22" x14ac:dyDescent="0.25">
      <c r="Q2044"/>
      <c r="V2044" s="2"/>
    </row>
    <row r="2045" spans="17:22" x14ac:dyDescent="0.25">
      <c r="Q2045"/>
      <c r="V2045" s="2"/>
    </row>
    <row r="2046" spans="17:22" x14ac:dyDescent="0.25">
      <c r="Q2046"/>
      <c r="V2046" s="2"/>
    </row>
    <row r="2047" spans="17:22" x14ac:dyDescent="0.25">
      <c r="Q2047"/>
      <c r="V2047" s="2"/>
    </row>
    <row r="2048" spans="17:22" x14ac:dyDescent="0.25">
      <c r="Q2048"/>
      <c r="V2048" s="2"/>
    </row>
    <row r="2049" spans="17:22" x14ac:dyDescent="0.25">
      <c r="Q2049"/>
      <c r="V2049" s="2"/>
    </row>
    <row r="2050" spans="17:22" x14ac:dyDescent="0.25">
      <c r="Q2050"/>
      <c r="V2050" s="2"/>
    </row>
    <row r="2051" spans="17:22" x14ac:dyDescent="0.25">
      <c r="Q2051"/>
      <c r="V2051" s="2"/>
    </row>
    <row r="2052" spans="17:22" x14ac:dyDescent="0.25">
      <c r="Q2052"/>
      <c r="V2052" s="2"/>
    </row>
    <row r="2053" spans="17:22" x14ac:dyDescent="0.25">
      <c r="Q2053"/>
      <c r="V2053" s="2"/>
    </row>
    <row r="2054" spans="17:22" x14ac:dyDescent="0.25">
      <c r="Q2054"/>
      <c r="V2054" s="2"/>
    </row>
    <row r="2055" spans="17:22" x14ac:dyDescent="0.25">
      <c r="Q2055"/>
      <c r="V2055" s="2"/>
    </row>
    <row r="2056" spans="17:22" x14ac:dyDescent="0.25">
      <c r="Q2056"/>
      <c r="V2056" s="2"/>
    </row>
    <row r="2057" spans="17:22" x14ac:dyDescent="0.25">
      <c r="Q2057"/>
      <c r="V2057" s="2"/>
    </row>
    <row r="2058" spans="17:22" x14ac:dyDescent="0.25">
      <c r="Q2058"/>
      <c r="V2058" s="2"/>
    </row>
    <row r="2059" spans="17:22" x14ac:dyDescent="0.25">
      <c r="Q2059"/>
      <c r="V2059" s="2"/>
    </row>
    <row r="2060" spans="17:22" x14ac:dyDescent="0.25">
      <c r="Q2060"/>
      <c r="V2060" s="2"/>
    </row>
    <row r="2061" spans="17:22" x14ac:dyDescent="0.25">
      <c r="Q2061"/>
      <c r="V2061" s="2"/>
    </row>
    <row r="2062" spans="17:22" x14ac:dyDescent="0.25">
      <c r="Q2062"/>
      <c r="V2062" s="2"/>
    </row>
    <row r="2063" spans="17:22" x14ac:dyDescent="0.25">
      <c r="Q2063"/>
      <c r="V2063" s="2"/>
    </row>
    <row r="2064" spans="17:22" x14ac:dyDescent="0.25">
      <c r="Q2064"/>
      <c r="V2064" s="2"/>
    </row>
    <row r="2065" spans="17:22" x14ac:dyDescent="0.25">
      <c r="Q2065"/>
      <c r="V2065" s="2"/>
    </row>
    <row r="2066" spans="17:22" x14ac:dyDescent="0.25">
      <c r="Q2066"/>
      <c r="V2066" s="2"/>
    </row>
    <row r="2067" spans="17:22" x14ac:dyDescent="0.25">
      <c r="Q2067"/>
      <c r="V2067" s="2"/>
    </row>
    <row r="2068" spans="17:22" x14ac:dyDescent="0.25">
      <c r="Q2068"/>
      <c r="V2068" s="2"/>
    </row>
    <row r="2069" spans="17:22" x14ac:dyDescent="0.25">
      <c r="Q2069"/>
      <c r="V2069" s="2"/>
    </row>
    <row r="2070" spans="17:22" x14ac:dyDescent="0.25">
      <c r="Q2070"/>
      <c r="V2070" s="2"/>
    </row>
    <row r="2071" spans="17:22" x14ac:dyDescent="0.25">
      <c r="Q2071"/>
      <c r="V2071" s="2"/>
    </row>
    <row r="2072" spans="17:22" x14ac:dyDescent="0.25">
      <c r="Q2072"/>
      <c r="V2072" s="2"/>
    </row>
    <row r="2073" spans="17:22" x14ac:dyDescent="0.25">
      <c r="Q2073"/>
      <c r="V2073" s="2"/>
    </row>
    <row r="2074" spans="17:22" x14ac:dyDescent="0.25">
      <c r="Q2074"/>
      <c r="V2074" s="2"/>
    </row>
    <row r="2075" spans="17:22" x14ac:dyDescent="0.25">
      <c r="Q2075"/>
      <c r="V2075" s="2"/>
    </row>
    <row r="2076" spans="17:22" x14ac:dyDescent="0.25">
      <c r="Q2076"/>
      <c r="V2076" s="2"/>
    </row>
    <row r="2077" spans="17:22" x14ac:dyDescent="0.25">
      <c r="Q2077"/>
      <c r="V2077" s="2"/>
    </row>
    <row r="2078" spans="17:22" x14ac:dyDescent="0.25">
      <c r="Q2078"/>
      <c r="V2078" s="2"/>
    </row>
    <row r="2079" spans="17:22" x14ac:dyDescent="0.25">
      <c r="Q2079"/>
      <c r="V2079" s="2"/>
    </row>
    <row r="2080" spans="17:22" x14ac:dyDescent="0.25">
      <c r="Q2080"/>
      <c r="V2080" s="2"/>
    </row>
    <row r="2081" spans="17:22" x14ac:dyDescent="0.25">
      <c r="Q2081"/>
      <c r="V2081" s="2"/>
    </row>
    <row r="2082" spans="17:22" x14ac:dyDescent="0.25">
      <c r="Q2082"/>
      <c r="V2082" s="2"/>
    </row>
    <row r="2083" spans="17:22" x14ac:dyDescent="0.25">
      <c r="Q2083"/>
      <c r="V2083" s="2"/>
    </row>
    <row r="2084" spans="17:22" x14ac:dyDescent="0.25">
      <c r="Q2084"/>
      <c r="V2084" s="2"/>
    </row>
    <row r="2085" spans="17:22" x14ac:dyDescent="0.25">
      <c r="Q2085"/>
      <c r="V2085" s="2"/>
    </row>
    <row r="2086" spans="17:22" x14ac:dyDescent="0.25">
      <c r="Q2086"/>
      <c r="V2086" s="2"/>
    </row>
    <row r="2087" spans="17:22" x14ac:dyDescent="0.25">
      <c r="Q2087"/>
      <c r="V2087" s="2"/>
    </row>
    <row r="2088" spans="17:22" x14ac:dyDescent="0.25">
      <c r="Q2088"/>
      <c r="V2088" s="2"/>
    </row>
    <row r="2089" spans="17:22" x14ac:dyDescent="0.25">
      <c r="Q2089"/>
      <c r="V2089" s="2"/>
    </row>
    <row r="2090" spans="17:22" x14ac:dyDescent="0.25">
      <c r="Q2090"/>
      <c r="V2090" s="2"/>
    </row>
    <row r="2091" spans="17:22" x14ac:dyDescent="0.25">
      <c r="Q2091"/>
      <c r="V2091" s="2"/>
    </row>
    <row r="2092" spans="17:22" x14ac:dyDescent="0.25">
      <c r="Q2092"/>
      <c r="V2092" s="2"/>
    </row>
    <row r="2093" spans="17:22" x14ac:dyDescent="0.25">
      <c r="Q2093"/>
      <c r="V2093" s="2"/>
    </row>
    <row r="2094" spans="17:22" x14ac:dyDescent="0.25">
      <c r="Q2094"/>
      <c r="V2094" s="2"/>
    </row>
    <row r="2095" spans="17:22" x14ac:dyDescent="0.25">
      <c r="Q2095"/>
      <c r="V2095" s="2"/>
    </row>
    <row r="2096" spans="17:22" x14ac:dyDescent="0.25">
      <c r="Q2096"/>
      <c r="V2096" s="2"/>
    </row>
    <row r="2097" spans="17:22" x14ac:dyDescent="0.25">
      <c r="Q2097"/>
      <c r="V2097" s="2"/>
    </row>
    <row r="2098" spans="17:22" x14ac:dyDescent="0.25">
      <c r="Q2098"/>
      <c r="V2098" s="2"/>
    </row>
    <row r="2099" spans="17:22" x14ac:dyDescent="0.25">
      <c r="Q2099"/>
      <c r="V2099" s="2"/>
    </row>
    <row r="2100" spans="17:22" x14ac:dyDescent="0.25">
      <c r="Q2100"/>
      <c r="V2100" s="2"/>
    </row>
    <row r="2101" spans="17:22" x14ac:dyDescent="0.25">
      <c r="Q2101"/>
      <c r="V2101" s="2"/>
    </row>
    <row r="2102" spans="17:22" x14ac:dyDescent="0.25">
      <c r="Q2102"/>
      <c r="V2102" s="2"/>
    </row>
    <row r="2103" spans="17:22" x14ac:dyDescent="0.25">
      <c r="Q2103"/>
      <c r="V2103" s="2"/>
    </row>
    <row r="2104" spans="17:22" x14ac:dyDescent="0.25">
      <c r="Q2104"/>
      <c r="V2104" s="2"/>
    </row>
    <row r="2105" spans="17:22" x14ac:dyDescent="0.25">
      <c r="Q2105"/>
      <c r="V2105" s="2"/>
    </row>
    <row r="2106" spans="17:22" x14ac:dyDescent="0.25">
      <c r="Q2106"/>
      <c r="V2106" s="2"/>
    </row>
    <row r="2107" spans="17:22" x14ac:dyDescent="0.25">
      <c r="Q2107"/>
      <c r="V2107" s="2"/>
    </row>
    <row r="2108" spans="17:22" x14ac:dyDescent="0.25">
      <c r="Q2108"/>
      <c r="V2108" s="2"/>
    </row>
    <row r="2109" spans="17:22" x14ac:dyDescent="0.25">
      <c r="Q2109"/>
      <c r="V2109" s="2"/>
    </row>
    <row r="2110" spans="17:22" x14ac:dyDescent="0.25">
      <c r="Q2110"/>
      <c r="V2110" s="2"/>
    </row>
    <row r="2111" spans="17:22" x14ac:dyDescent="0.25">
      <c r="Q2111"/>
      <c r="V2111" s="2"/>
    </row>
    <row r="2112" spans="17:22" x14ac:dyDescent="0.25">
      <c r="Q2112"/>
      <c r="V2112" s="2"/>
    </row>
    <row r="2113" spans="17:22" x14ac:dyDescent="0.25">
      <c r="Q2113"/>
      <c r="V2113" s="2"/>
    </row>
    <row r="2114" spans="17:22" x14ac:dyDescent="0.25">
      <c r="Q2114"/>
      <c r="V2114" s="2"/>
    </row>
    <row r="2115" spans="17:22" x14ac:dyDescent="0.25">
      <c r="Q2115"/>
      <c r="V2115" s="2"/>
    </row>
    <row r="2116" spans="17:22" x14ac:dyDescent="0.25">
      <c r="Q2116"/>
      <c r="V2116" s="2"/>
    </row>
    <row r="2117" spans="17:22" x14ac:dyDescent="0.25">
      <c r="Q2117"/>
      <c r="V2117" s="2"/>
    </row>
    <row r="2118" spans="17:22" x14ac:dyDescent="0.25">
      <c r="Q2118"/>
      <c r="V2118" s="2"/>
    </row>
    <row r="2119" spans="17:22" x14ac:dyDescent="0.25">
      <c r="Q2119"/>
      <c r="V2119" s="2"/>
    </row>
    <row r="2120" spans="17:22" x14ac:dyDescent="0.25">
      <c r="Q2120"/>
      <c r="V2120" s="2"/>
    </row>
    <row r="2121" spans="17:22" x14ac:dyDescent="0.25">
      <c r="Q2121"/>
      <c r="V2121" s="2"/>
    </row>
    <row r="2122" spans="17:22" x14ac:dyDescent="0.25">
      <c r="Q2122"/>
      <c r="V2122" s="2"/>
    </row>
    <row r="2123" spans="17:22" x14ac:dyDescent="0.25">
      <c r="Q2123"/>
      <c r="V2123" s="2"/>
    </row>
    <row r="2124" spans="17:22" x14ac:dyDescent="0.25">
      <c r="Q2124"/>
      <c r="V2124" s="2"/>
    </row>
    <row r="2125" spans="17:22" x14ac:dyDescent="0.25">
      <c r="Q2125"/>
      <c r="V2125" s="2"/>
    </row>
    <row r="2126" spans="17:22" x14ac:dyDescent="0.25">
      <c r="Q2126"/>
      <c r="V2126" s="2"/>
    </row>
    <row r="2127" spans="17:22" x14ac:dyDescent="0.25">
      <c r="Q2127"/>
      <c r="V2127" s="2"/>
    </row>
    <row r="2128" spans="17:22" x14ac:dyDescent="0.25">
      <c r="Q2128"/>
      <c r="V2128" s="2"/>
    </row>
    <row r="2129" spans="17:22" x14ac:dyDescent="0.25">
      <c r="Q2129"/>
      <c r="V2129" s="2"/>
    </row>
    <row r="2130" spans="17:22" x14ac:dyDescent="0.25">
      <c r="Q2130"/>
      <c r="V2130" s="2"/>
    </row>
    <row r="2131" spans="17:22" x14ac:dyDescent="0.25">
      <c r="Q2131"/>
      <c r="V2131" s="2"/>
    </row>
    <row r="2132" spans="17:22" x14ac:dyDescent="0.25">
      <c r="Q2132"/>
      <c r="V2132" s="2"/>
    </row>
    <row r="2133" spans="17:22" x14ac:dyDescent="0.25">
      <c r="Q2133"/>
      <c r="V2133" s="2"/>
    </row>
    <row r="2134" spans="17:22" x14ac:dyDescent="0.25">
      <c r="Q2134"/>
      <c r="V2134" s="2"/>
    </row>
    <row r="2135" spans="17:22" x14ac:dyDescent="0.25">
      <c r="Q2135"/>
      <c r="V2135" s="2"/>
    </row>
    <row r="2136" spans="17:22" x14ac:dyDescent="0.25">
      <c r="Q2136"/>
      <c r="V2136" s="2"/>
    </row>
    <row r="2137" spans="17:22" x14ac:dyDescent="0.25">
      <c r="Q2137"/>
      <c r="V2137" s="2"/>
    </row>
    <row r="2138" spans="17:22" x14ac:dyDescent="0.25">
      <c r="Q2138"/>
      <c r="V2138" s="2"/>
    </row>
    <row r="2139" spans="17:22" x14ac:dyDescent="0.25">
      <c r="Q2139"/>
      <c r="V2139" s="2"/>
    </row>
    <row r="2140" spans="17:22" x14ac:dyDescent="0.25">
      <c r="Q2140"/>
      <c r="V2140" s="2"/>
    </row>
    <row r="2141" spans="17:22" x14ac:dyDescent="0.25">
      <c r="Q2141"/>
      <c r="V2141" s="2"/>
    </row>
    <row r="2142" spans="17:22" x14ac:dyDescent="0.25">
      <c r="Q2142"/>
      <c r="V2142" s="2"/>
    </row>
    <row r="2143" spans="17:22" x14ac:dyDescent="0.25">
      <c r="Q2143"/>
      <c r="V2143" s="2"/>
    </row>
    <row r="2144" spans="17:22" x14ac:dyDescent="0.25">
      <c r="Q2144"/>
      <c r="V2144" s="2"/>
    </row>
    <row r="2145" spans="17:22" x14ac:dyDescent="0.25">
      <c r="Q2145"/>
      <c r="V2145" s="2"/>
    </row>
    <row r="2146" spans="17:22" x14ac:dyDescent="0.25">
      <c r="Q2146"/>
      <c r="V2146" s="2"/>
    </row>
    <row r="2147" spans="17:22" x14ac:dyDescent="0.25">
      <c r="Q2147"/>
      <c r="V2147" s="2"/>
    </row>
    <row r="2148" spans="17:22" x14ac:dyDescent="0.25">
      <c r="Q2148"/>
      <c r="V2148" s="2"/>
    </row>
    <row r="2149" spans="17:22" x14ac:dyDescent="0.25">
      <c r="Q2149"/>
      <c r="V2149" s="2"/>
    </row>
    <row r="2150" spans="17:22" x14ac:dyDescent="0.25">
      <c r="Q2150"/>
      <c r="V2150" s="2"/>
    </row>
    <row r="2151" spans="17:22" x14ac:dyDescent="0.25">
      <c r="Q2151"/>
      <c r="V2151" s="2"/>
    </row>
    <row r="2152" spans="17:22" x14ac:dyDescent="0.25">
      <c r="Q2152"/>
      <c r="V2152" s="2"/>
    </row>
    <row r="2153" spans="17:22" x14ac:dyDescent="0.25">
      <c r="Q2153"/>
      <c r="V2153" s="2"/>
    </row>
    <row r="2154" spans="17:22" x14ac:dyDescent="0.25">
      <c r="Q2154"/>
      <c r="V2154" s="2"/>
    </row>
    <row r="2155" spans="17:22" x14ac:dyDescent="0.25">
      <c r="Q2155"/>
      <c r="V2155" s="2"/>
    </row>
    <row r="2156" spans="17:22" x14ac:dyDescent="0.25">
      <c r="Q2156"/>
      <c r="V2156" s="2"/>
    </row>
    <row r="2157" spans="17:22" x14ac:dyDescent="0.25">
      <c r="Q2157"/>
      <c r="V2157" s="2"/>
    </row>
    <row r="2158" spans="17:22" x14ac:dyDescent="0.25">
      <c r="Q2158"/>
      <c r="V2158" s="2"/>
    </row>
    <row r="2159" spans="17:22" x14ac:dyDescent="0.25">
      <c r="Q2159"/>
      <c r="V2159" s="2"/>
    </row>
    <row r="2160" spans="17:22" x14ac:dyDescent="0.25">
      <c r="Q2160"/>
      <c r="V2160" s="2"/>
    </row>
    <row r="2161" spans="17:22" x14ac:dyDescent="0.25">
      <c r="Q2161"/>
      <c r="V2161" s="2"/>
    </row>
    <row r="2162" spans="17:22" x14ac:dyDescent="0.25">
      <c r="Q2162"/>
      <c r="V2162" s="2"/>
    </row>
    <row r="2163" spans="17:22" x14ac:dyDescent="0.25">
      <c r="Q2163"/>
      <c r="V2163" s="2"/>
    </row>
    <row r="2164" spans="17:22" x14ac:dyDescent="0.25">
      <c r="Q2164"/>
      <c r="V2164" s="2"/>
    </row>
    <row r="2165" spans="17:22" x14ac:dyDescent="0.25">
      <c r="Q2165"/>
      <c r="V2165" s="2"/>
    </row>
    <row r="2166" spans="17:22" x14ac:dyDescent="0.25">
      <c r="Q2166"/>
      <c r="V2166" s="2"/>
    </row>
    <row r="2167" spans="17:22" x14ac:dyDescent="0.25">
      <c r="Q2167"/>
      <c r="V2167" s="2"/>
    </row>
    <row r="2168" spans="17:22" x14ac:dyDescent="0.25">
      <c r="Q2168"/>
      <c r="V2168" s="2"/>
    </row>
    <row r="2169" spans="17:22" x14ac:dyDescent="0.25">
      <c r="Q2169"/>
      <c r="V2169" s="2"/>
    </row>
    <row r="2170" spans="17:22" x14ac:dyDescent="0.25">
      <c r="Q2170"/>
      <c r="V2170" s="2"/>
    </row>
    <row r="2171" spans="17:22" x14ac:dyDescent="0.25">
      <c r="Q2171"/>
      <c r="V2171" s="2"/>
    </row>
    <row r="2172" spans="17:22" x14ac:dyDescent="0.25">
      <c r="Q2172"/>
      <c r="V2172" s="2"/>
    </row>
    <row r="2173" spans="17:22" x14ac:dyDescent="0.25">
      <c r="Q2173"/>
      <c r="V2173" s="2"/>
    </row>
    <row r="2174" spans="17:22" x14ac:dyDescent="0.25">
      <c r="Q2174"/>
      <c r="V2174" s="2"/>
    </row>
    <row r="2175" spans="17:22" x14ac:dyDescent="0.25">
      <c r="Q2175"/>
      <c r="V2175" s="2"/>
    </row>
    <row r="2176" spans="17:22" x14ac:dyDescent="0.25">
      <c r="Q2176"/>
      <c r="V2176" s="2"/>
    </row>
    <row r="2177" spans="17:22" x14ac:dyDescent="0.25">
      <c r="Q2177"/>
      <c r="V2177" s="2"/>
    </row>
    <row r="2178" spans="17:22" x14ac:dyDescent="0.25">
      <c r="Q2178"/>
      <c r="V2178" s="2"/>
    </row>
    <row r="2179" spans="17:22" x14ac:dyDescent="0.25">
      <c r="Q2179"/>
      <c r="V2179" s="2"/>
    </row>
    <row r="2180" spans="17:22" x14ac:dyDescent="0.25">
      <c r="Q2180"/>
      <c r="V2180" s="2"/>
    </row>
    <row r="2181" spans="17:22" x14ac:dyDescent="0.25">
      <c r="Q2181"/>
      <c r="V2181" s="2"/>
    </row>
    <row r="2182" spans="17:22" x14ac:dyDescent="0.25">
      <c r="Q2182"/>
      <c r="V2182" s="2"/>
    </row>
    <row r="2183" spans="17:22" x14ac:dyDescent="0.25">
      <c r="Q2183"/>
      <c r="V2183" s="2"/>
    </row>
    <row r="2184" spans="17:22" x14ac:dyDescent="0.25">
      <c r="Q2184"/>
      <c r="V2184" s="2"/>
    </row>
    <row r="2185" spans="17:22" x14ac:dyDescent="0.25">
      <c r="Q2185"/>
      <c r="V2185" s="2"/>
    </row>
    <row r="2186" spans="17:22" x14ac:dyDescent="0.25">
      <c r="Q2186"/>
      <c r="V2186" s="2"/>
    </row>
    <row r="2187" spans="17:22" x14ac:dyDescent="0.25">
      <c r="Q2187"/>
      <c r="V2187" s="2"/>
    </row>
    <row r="2188" spans="17:22" x14ac:dyDescent="0.25">
      <c r="Q2188"/>
      <c r="V2188" s="2"/>
    </row>
    <row r="2189" spans="17:22" x14ac:dyDescent="0.25">
      <c r="Q2189"/>
      <c r="V2189" s="2"/>
    </row>
    <row r="2190" spans="17:22" x14ac:dyDescent="0.25">
      <c r="Q2190"/>
      <c r="V2190" s="2"/>
    </row>
    <row r="2191" spans="17:22" x14ac:dyDescent="0.25">
      <c r="Q2191"/>
      <c r="V2191" s="2"/>
    </row>
    <row r="2192" spans="17:22" x14ac:dyDescent="0.25">
      <c r="Q2192"/>
      <c r="V2192" s="2"/>
    </row>
    <row r="2193" spans="17:22" x14ac:dyDescent="0.25">
      <c r="Q2193"/>
      <c r="V2193" s="2"/>
    </row>
    <row r="2194" spans="17:22" x14ac:dyDescent="0.25">
      <c r="Q2194"/>
      <c r="V2194" s="2"/>
    </row>
    <row r="2195" spans="17:22" x14ac:dyDescent="0.25">
      <c r="Q2195"/>
      <c r="V2195" s="2"/>
    </row>
    <row r="2196" spans="17:22" x14ac:dyDescent="0.25">
      <c r="Q2196"/>
      <c r="V2196" s="2"/>
    </row>
    <row r="2197" spans="17:22" x14ac:dyDescent="0.25">
      <c r="Q2197"/>
      <c r="V2197" s="2"/>
    </row>
    <row r="2198" spans="17:22" x14ac:dyDescent="0.25">
      <c r="Q2198"/>
      <c r="V2198" s="2"/>
    </row>
    <row r="2199" spans="17:22" x14ac:dyDescent="0.25">
      <c r="Q2199"/>
      <c r="V2199" s="2"/>
    </row>
    <row r="2200" spans="17:22" x14ac:dyDescent="0.25">
      <c r="Q2200"/>
      <c r="V2200" s="2"/>
    </row>
    <row r="2201" spans="17:22" x14ac:dyDescent="0.25">
      <c r="Q2201"/>
      <c r="V2201" s="2"/>
    </row>
    <row r="2202" spans="17:22" x14ac:dyDescent="0.25">
      <c r="Q2202"/>
      <c r="V2202" s="2"/>
    </row>
    <row r="2203" spans="17:22" x14ac:dyDescent="0.25">
      <c r="Q2203"/>
      <c r="V2203" s="2"/>
    </row>
    <row r="2204" spans="17:22" x14ac:dyDescent="0.25">
      <c r="Q2204"/>
      <c r="V2204" s="2"/>
    </row>
    <row r="2205" spans="17:22" x14ac:dyDescent="0.25">
      <c r="Q2205"/>
      <c r="V2205" s="2"/>
    </row>
    <row r="2206" spans="17:22" x14ac:dyDescent="0.25">
      <c r="Q2206"/>
      <c r="V2206" s="2"/>
    </row>
    <row r="2207" spans="17:22" x14ac:dyDescent="0.25">
      <c r="Q2207"/>
      <c r="V2207" s="2"/>
    </row>
    <row r="2208" spans="17:22" x14ac:dyDescent="0.25">
      <c r="Q2208"/>
      <c r="V2208" s="2"/>
    </row>
    <row r="2209" spans="17:22" x14ac:dyDescent="0.25">
      <c r="Q2209"/>
      <c r="V2209" s="2"/>
    </row>
    <row r="2210" spans="17:22" x14ac:dyDescent="0.25">
      <c r="Q2210"/>
      <c r="V2210" s="2"/>
    </row>
    <row r="2211" spans="17:22" x14ac:dyDescent="0.25">
      <c r="Q2211"/>
      <c r="V2211" s="2"/>
    </row>
    <row r="2212" spans="17:22" x14ac:dyDescent="0.25">
      <c r="Q2212"/>
      <c r="V2212" s="2"/>
    </row>
    <row r="2213" spans="17:22" x14ac:dyDescent="0.25">
      <c r="Q2213"/>
      <c r="V2213" s="2"/>
    </row>
    <row r="2214" spans="17:22" x14ac:dyDescent="0.25">
      <c r="Q2214"/>
      <c r="V2214" s="2"/>
    </row>
    <row r="2215" spans="17:22" x14ac:dyDescent="0.25">
      <c r="Q2215"/>
      <c r="V2215" s="2"/>
    </row>
    <row r="2216" spans="17:22" x14ac:dyDescent="0.25">
      <c r="Q2216"/>
      <c r="V2216" s="2"/>
    </row>
    <row r="2217" spans="17:22" x14ac:dyDescent="0.25">
      <c r="Q2217"/>
      <c r="V2217" s="2"/>
    </row>
    <row r="2218" spans="17:22" x14ac:dyDescent="0.25">
      <c r="Q2218"/>
      <c r="V2218" s="2"/>
    </row>
    <row r="2219" spans="17:22" x14ac:dyDescent="0.25">
      <c r="Q2219"/>
      <c r="V2219" s="2"/>
    </row>
    <row r="2220" spans="17:22" x14ac:dyDescent="0.25">
      <c r="Q2220"/>
      <c r="V2220" s="2"/>
    </row>
    <row r="2221" spans="17:22" x14ac:dyDescent="0.25">
      <c r="Q2221"/>
      <c r="V2221" s="2"/>
    </row>
    <row r="2222" spans="17:22" x14ac:dyDescent="0.25">
      <c r="Q2222"/>
      <c r="V2222" s="2"/>
    </row>
    <row r="2223" spans="17:22" x14ac:dyDescent="0.25">
      <c r="Q2223"/>
      <c r="V2223" s="2"/>
    </row>
    <row r="2224" spans="17:22" x14ac:dyDescent="0.25">
      <c r="Q2224"/>
      <c r="V2224" s="2"/>
    </row>
    <row r="2225" spans="17:22" x14ac:dyDescent="0.25">
      <c r="Q2225"/>
      <c r="V2225" s="2"/>
    </row>
    <row r="2226" spans="17:22" x14ac:dyDescent="0.25">
      <c r="Q2226"/>
      <c r="V2226" s="2"/>
    </row>
    <row r="2227" spans="17:22" x14ac:dyDescent="0.25">
      <c r="Q2227"/>
      <c r="V2227" s="2"/>
    </row>
    <row r="2228" spans="17:22" x14ac:dyDescent="0.25">
      <c r="Q2228"/>
      <c r="V2228" s="2"/>
    </row>
    <row r="2229" spans="17:22" x14ac:dyDescent="0.25">
      <c r="Q2229"/>
      <c r="V2229" s="2"/>
    </row>
    <row r="2230" spans="17:22" x14ac:dyDescent="0.25">
      <c r="Q2230"/>
      <c r="V2230" s="2"/>
    </row>
    <row r="2231" spans="17:22" x14ac:dyDescent="0.25">
      <c r="Q2231"/>
      <c r="V2231" s="2"/>
    </row>
    <row r="2232" spans="17:22" x14ac:dyDescent="0.25">
      <c r="Q2232"/>
      <c r="V2232" s="2"/>
    </row>
    <row r="2233" spans="17:22" x14ac:dyDescent="0.25">
      <c r="Q2233"/>
      <c r="V2233" s="2"/>
    </row>
    <row r="2234" spans="17:22" x14ac:dyDescent="0.25">
      <c r="Q2234"/>
      <c r="V2234" s="2"/>
    </row>
    <row r="2235" spans="17:22" x14ac:dyDescent="0.25">
      <c r="Q2235"/>
      <c r="V2235" s="2"/>
    </row>
    <row r="2236" spans="17:22" x14ac:dyDescent="0.25">
      <c r="Q2236"/>
      <c r="V2236" s="2"/>
    </row>
    <row r="2237" spans="17:22" x14ac:dyDescent="0.25">
      <c r="Q2237"/>
      <c r="V2237" s="2"/>
    </row>
    <row r="2238" spans="17:22" x14ac:dyDescent="0.25">
      <c r="Q2238"/>
      <c r="V2238" s="2"/>
    </row>
    <row r="2239" spans="17:22" x14ac:dyDescent="0.25">
      <c r="Q2239"/>
      <c r="V2239" s="2"/>
    </row>
    <row r="2240" spans="17:22" x14ac:dyDescent="0.25">
      <c r="Q2240"/>
      <c r="V2240" s="2"/>
    </row>
    <row r="2241" spans="17:22" x14ac:dyDescent="0.25">
      <c r="Q2241"/>
      <c r="V2241" s="2"/>
    </row>
    <row r="2242" spans="17:22" x14ac:dyDescent="0.25">
      <c r="Q2242"/>
      <c r="V2242" s="2"/>
    </row>
    <row r="2243" spans="17:22" x14ac:dyDescent="0.25">
      <c r="Q2243"/>
      <c r="V2243" s="2"/>
    </row>
    <row r="2244" spans="17:22" x14ac:dyDescent="0.25">
      <c r="Q2244"/>
      <c r="V2244" s="2"/>
    </row>
    <row r="2245" spans="17:22" x14ac:dyDescent="0.25">
      <c r="Q2245"/>
      <c r="V2245" s="2"/>
    </row>
    <row r="2246" spans="17:22" x14ac:dyDescent="0.25">
      <c r="Q2246"/>
      <c r="V2246" s="2"/>
    </row>
    <row r="2247" spans="17:22" x14ac:dyDescent="0.25">
      <c r="Q2247"/>
      <c r="V2247" s="2"/>
    </row>
    <row r="2248" spans="17:22" x14ac:dyDescent="0.25">
      <c r="Q2248"/>
      <c r="V2248" s="2"/>
    </row>
    <row r="2249" spans="17:22" x14ac:dyDescent="0.25">
      <c r="Q2249"/>
      <c r="V2249" s="2"/>
    </row>
    <row r="2250" spans="17:22" x14ac:dyDescent="0.25">
      <c r="Q2250"/>
      <c r="V2250" s="2"/>
    </row>
    <row r="2251" spans="17:22" x14ac:dyDescent="0.25">
      <c r="Q2251"/>
      <c r="V2251" s="2"/>
    </row>
    <row r="2252" spans="17:22" x14ac:dyDescent="0.25">
      <c r="Q2252"/>
      <c r="V2252" s="2"/>
    </row>
    <row r="2253" spans="17:22" x14ac:dyDescent="0.25">
      <c r="Q2253"/>
      <c r="V2253" s="2"/>
    </row>
    <row r="2254" spans="17:22" x14ac:dyDescent="0.25">
      <c r="Q2254"/>
      <c r="V2254" s="2"/>
    </row>
    <row r="2255" spans="17:22" x14ac:dyDescent="0.25">
      <c r="Q2255"/>
      <c r="V2255" s="2"/>
    </row>
    <row r="2256" spans="17:22" x14ac:dyDescent="0.25">
      <c r="Q2256"/>
      <c r="V2256" s="2"/>
    </row>
    <row r="2257" spans="17:22" x14ac:dyDescent="0.25">
      <c r="Q2257"/>
      <c r="V2257" s="2"/>
    </row>
    <row r="2258" spans="17:22" x14ac:dyDescent="0.25">
      <c r="Q2258"/>
      <c r="V2258" s="2"/>
    </row>
    <row r="2259" spans="17:22" x14ac:dyDescent="0.25">
      <c r="Q2259"/>
      <c r="V2259" s="2"/>
    </row>
    <row r="2260" spans="17:22" x14ac:dyDescent="0.25">
      <c r="Q2260"/>
      <c r="V2260" s="2"/>
    </row>
    <row r="2261" spans="17:22" x14ac:dyDescent="0.25">
      <c r="Q2261"/>
      <c r="V2261" s="2"/>
    </row>
    <row r="2262" spans="17:22" x14ac:dyDescent="0.25">
      <c r="Q2262"/>
      <c r="V2262" s="2"/>
    </row>
    <row r="2263" spans="17:22" x14ac:dyDescent="0.25">
      <c r="Q2263"/>
      <c r="V2263" s="2"/>
    </row>
    <row r="2264" spans="17:22" x14ac:dyDescent="0.25">
      <c r="Q2264"/>
      <c r="V2264" s="2"/>
    </row>
    <row r="2265" spans="17:22" x14ac:dyDescent="0.25">
      <c r="Q2265"/>
      <c r="V2265" s="2"/>
    </row>
    <row r="2266" spans="17:22" x14ac:dyDescent="0.25">
      <c r="Q2266"/>
      <c r="V2266" s="2"/>
    </row>
    <row r="2267" spans="17:22" x14ac:dyDescent="0.25">
      <c r="Q2267"/>
      <c r="V2267" s="2"/>
    </row>
    <row r="2268" spans="17:22" x14ac:dyDescent="0.25">
      <c r="Q2268"/>
      <c r="V2268" s="2"/>
    </row>
    <row r="2269" spans="17:22" x14ac:dyDescent="0.25">
      <c r="Q2269"/>
      <c r="V2269" s="2"/>
    </row>
    <row r="2270" spans="17:22" x14ac:dyDescent="0.25">
      <c r="Q2270"/>
      <c r="V2270" s="2"/>
    </row>
    <row r="2271" spans="17:22" x14ac:dyDescent="0.25">
      <c r="Q2271"/>
      <c r="V2271" s="2"/>
    </row>
    <row r="2272" spans="17:22" x14ac:dyDescent="0.25">
      <c r="Q2272"/>
      <c r="V2272" s="2"/>
    </row>
    <row r="2273" spans="17:22" x14ac:dyDescent="0.25">
      <c r="Q2273"/>
      <c r="V2273" s="2"/>
    </row>
    <row r="2274" spans="17:22" x14ac:dyDescent="0.25">
      <c r="Q2274"/>
      <c r="V2274" s="2"/>
    </row>
    <row r="2275" spans="17:22" x14ac:dyDescent="0.25">
      <c r="Q2275"/>
      <c r="V2275" s="2"/>
    </row>
    <row r="2276" spans="17:22" x14ac:dyDescent="0.25">
      <c r="Q2276"/>
      <c r="V2276" s="2"/>
    </row>
    <row r="2277" spans="17:22" x14ac:dyDescent="0.25">
      <c r="Q2277"/>
      <c r="V2277" s="2"/>
    </row>
    <row r="2278" spans="17:22" x14ac:dyDescent="0.25">
      <c r="Q2278"/>
      <c r="V2278" s="2"/>
    </row>
    <row r="2279" spans="17:22" x14ac:dyDescent="0.25">
      <c r="Q2279"/>
      <c r="V2279" s="2"/>
    </row>
    <row r="2280" spans="17:22" x14ac:dyDescent="0.25">
      <c r="Q2280"/>
      <c r="V2280" s="2"/>
    </row>
    <row r="2281" spans="17:22" x14ac:dyDescent="0.25">
      <c r="Q2281"/>
      <c r="V2281" s="2"/>
    </row>
    <row r="2282" spans="17:22" x14ac:dyDescent="0.25">
      <c r="Q2282"/>
      <c r="V2282" s="2"/>
    </row>
    <row r="2283" spans="17:22" x14ac:dyDescent="0.25">
      <c r="Q2283"/>
      <c r="V2283" s="2"/>
    </row>
    <row r="2284" spans="17:22" x14ac:dyDescent="0.25">
      <c r="Q2284"/>
      <c r="V2284" s="2"/>
    </row>
    <row r="2285" spans="17:22" x14ac:dyDescent="0.25">
      <c r="Q2285"/>
      <c r="V2285" s="2"/>
    </row>
    <row r="2286" spans="17:22" x14ac:dyDescent="0.25">
      <c r="Q2286"/>
      <c r="V2286" s="2"/>
    </row>
    <row r="2287" spans="17:22" x14ac:dyDescent="0.25">
      <c r="Q2287"/>
      <c r="V2287" s="2"/>
    </row>
    <row r="2288" spans="17:22" x14ac:dyDescent="0.25">
      <c r="Q2288"/>
      <c r="V2288" s="2"/>
    </row>
    <row r="2289" spans="17:22" x14ac:dyDescent="0.25">
      <c r="Q2289"/>
      <c r="V2289" s="2"/>
    </row>
    <row r="2290" spans="17:22" x14ac:dyDescent="0.25">
      <c r="Q2290"/>
      <c r="V2290" s="2"/>
    </row>
    <row r="2291" spans="17:22" x14ac:dyDescent="0.25">
      <c r="Q2291"/>
      <c r="V2291" s="2"/>
    </row>
    <row r="2292" spans="17:22" x14ac:dyDescent="0.25">
      <c r="Q2292"/>
      <c r="V2292" s="2"/>
    </row>
    <row r="2293" spans="17:22" x14ac:dyDescent="0.25">
      <c r="Q2293"/>
      <c r="V2293" s="2"/>
    </row>
    <row r="2294" spans="17:22" x14ac:dyDescent="0.25">
      <c r="Q2294"/>
      <c r="V2294" s="2"/>
    </row>
    <row r="2295" spans="17:22" x14ac:dyDescent="0.25">
      <c r="Q2295"/>
      <c r="V2295" s="2"/>
    </row>
    <row r="2296" spans="17:22" x14ac:dyDescent="0.25">
      <c r="Q2296"/>
      <c r="V2296" s="2"/>
    </row>
    <row r="2297" spans="17:22" x14ac:dyDescent="0.25">
      <c r="Q2297"/>
      <c r="V2297" s="2"/>
    </row>
    <row r="2298" spans="17:22" x14ac:dyDescent="0.25">
      <c r="Q2298"/>
      <c r="V2298" s="2"/>
    </row>
    <row r="2299" spans="17:22" x14ac:dyDescent="0.25">
      <c r="Q2299"/>
      <c r="V2299" s="2"/>
    </row>
    <row r="2300" spans="17:22" x14ac:dyDescent="0.25">
      <c r="Q2300"/>
      <c r="V2300" s="2"/>
    </row>
    <row r="2301" spans="17:22" x14ac:dyDescent="0.25">
      <c r="Q2301"/>
      <c r="V2301" s="2"/>
    </row>
    <row r="2302" spans="17:22" x14ac:dyDescent="0.25">
      <c r="Q2302"/>
      <c r="V2302" s="2"/>
    </row>
    <row r="2303" spans="17:22" x14ac:dyDescent="0.25">
      <c r="Q2303"/>
      <c r="V2303" s="2"/>
    </row>
    <row r="2304" spans="17:22" x14ac:dyDescent="0.25">
      <c r="Q2304"/>
      <c r="V2304" s="2"/>
    </row>
    <row r="2305" spans="17:22" x14ac:dyDescent="0.25">
      <c r="Q2305"/>
      <c r="V2305" s="2"/>
    </row>
    <row r="2306" spans="17:22" x14ac:dyDescent="0.25">
      <c r="Q2306"/>
      <c r="V2306" s="2"/>
    </row>
    <row r="2307" spans="17:22" x14ac:dyDescent="0.25">
      <c r="Q2307"/>
      <c r="V2307" s="2"/>
    </row>
    <row r="2308" spans="17:22" x14ac:dyDescent="0.25">
      <c r="Q2308"/>
      <c r="V2308" s="2"/>
    </row>
    <row r="2309" spans="17:22" x14ac:dyDescent="0.25">
      <c r="Q2309"/>
      <c r="V2309" s="2"/>
    </row>
    <row r="2310" spans="17:22" x14ac:dyDescent="0.25">
      <c r="Q2310"/>
      <c r="V2310" s="2"/>
    </row>
    <row r="2311" spans="17:22" x14ac:dyDescent="0.25">
      <c r="Q2311"/>
      <c r="V2311" s="2"/>
    </row>
    <row r="2312" spans="17:22" x14ac:dyDescent="0.25">
      <c r="Q2312"/>
      <c r="V2312" s="2"/>
    </row>
    <row r="2313" spans="17:22" x14ac:dyDescent="0.25">
      <c r="Q2313"/>
      <c r="V2313" s="2"/>
    </row>
    <row r="2314" spans="17:22" x14ac:dyDescent="0.25">
      <c r="Q2314"/>
      <c r="V2314" s="2"/>
    </row>
    <row r="2315" spans="17:22" x14ac:dyDescent="0.25">
      <c r="Q2315"/>
      <c r="V2315" s="2"/>
    </row>
    <row r="2316" spans="17:22" x14ac:dyDescent="0.25">
      <c r="Q2316"/>
      <c r="V2316" s="2"/>
    </row>
    <row r="2317" spans="17:22" x14ac:dyDescent="0.25">
      <c r="Q2317"/>
      <c r="V2317" s="2"/>
    </row>
    <row r="2318" spans="17:22" x14ac:dyDescent="0.25">
      <c r="Q2318"/>
      <c r="V2318" s="2"/>
    </row>
    <row r="2319" spans="17:22" x14ac:dyDescent="0.25">
      <c r="Q2319"/>
      <c r="V2319" s="2"/>
    </row>
    <row r="2320" spans="17:22" x14ac:dyDescent="0.25">
      <c r="Q2320"/>
      <c r="V2320" s="2"/>
    </row>
    <row r="2321" spans="17:22" x14ac:dyDescent="0.25">
      <c r="Q2321"/>
      <c r="V2321" s="2"/>
    </row>
    <row r="2322" spans="17:22" x14ac:dyDescent="0.25">
      <c r="Q2322"/>
      <c r="V2322" s="2"/>
    </row>
    <row r="2323" spans="17:22" x14ac:dyDescent="0.25">
      <c r="Q2323"/>
      <c r="V2323" s="2"/>
    </row>
    <row r="2324" spans="17:22" x14ac:dyDescent="0.25">
      <c r="Q2324"/>
      <c r="V2324" s="2"/>
    </row>
    <row r="2325" spans="17:22" x14ac:dyDescent="0.25">
      <c r="Q2325"/>
      <c r="V2325" s="2"/>
    </row>
    <row r="2326" spans="17:22" x14ac:dyDescent="0.25">
      <c r="Q2326"/>
      <c r="V2326" s="2"/>
    </row>
    <row r="2327" spans="17:22" x14ac:dyDescent="0.25">
      <c r="Q2327"/>
      <c r="V2327" s="2"/>
    </row>
    <row r="2328" spans="17:22" x14ac:dyDescent="0.25">
      <c r="Q2328"/>
      <c r="V2328" s="2"/>
    </row>
    <row r="2329" spans="17:22" x14ac:dyDescent="0.25">
      <c r="Q2329"/>
      <c r="V2329" s="2"/>
    </row>
    <row r="2330" spans="17:22" x14ac:dyDescent="0.25">
      <c r="Q2330"/>
      <c r="V2330" s="2"/>
    </row>
    <row r="2331" spans="17:22" x14ac:dyDescent="0.25">
      <c r="Q2331"/>
      <c r="V2331" s="2"/>
    </row>
    <row r="2332" spans="17:22" x14ac:dyDescent="0.25">
      <c r="Q2332"/>
      <c r="V2332" s="2"/>
    </row>
    <row r="2333" spans="17:22" x14ac:dyDescent="0.25">
      <c r="Q2333"/>
      <c r="V2333" s="2"/>
    </row>
    <row r="2334" spans="17:22" x14ac:dyDescent="0.25">
      <c r="Q2334"/>
      <c r="V2334" s="2"/>
    </row>
    <row r="2335" spans="17:22" x14ac:dyDescent="0.25">
      <c r="Q2335"/>
      <c r="V2335" s="2"/>
    </row>
    <row r="2336" spans="17:22" x14ac:dyDescent="0.25">
      <c r="Q2336"/>
      <c r="V2336" s="2"/>
    </row>
    <row r="2337" spans="17:22" x14ac:dyDescent="0.25">
      <c r="Q2337"/>
      <c r="V2337" s="2"/>
    </row>
    <row r="2338" spans="17:22" x14ac:dyDescent="0.25">
      <c r="Q2338"/>
      <c r="V2338" s="2"/>
    </row>
    <row r="2339" spans="17:22" x14ac:dyDescent="0.25">
      <c r="Q2339"/>
      <c r="V2339" s="2"/>
    </row>
    <row r="2340" spans="17:22" x14ac:dyDescent="0.25">
      <c r="Q2340"/>
      <c r="V2340" s="2"/>
    </row>
    <row r="2341" spans="17:22" x14ac:dyDescent="0.25">
      <c r="Q2341"/>
      <c r="V2341" s="2"/>
    </row>
    <row r="2342" spans="17:22" x14ac:dyDescent="0.25">
      <c r="Q2342"/>
      <c r="V2342" s="2"/>
    </row>
    <row r="2343" spans="17:22" x14ac:dyDescent="0.25">
      <c r="Q2343"/>
      <c r="V2343" s="2"/>
    </row>
    <row r="2344" spans="17:22" x14ac:dyDescent="0.25">
      <c r="Q2344"/>
      <c r="V2344" s="2"/>
    </row>
    <row r="2345" spans="17:22" x14ac:dyDescent="0.25">
      <c r="Q2345"/>
      <c r="V2345" s="2"/>
    </row>
    <row r="2346" spans="17:22" x14ac:dyDescent="0.25">
      <c r="Q2346"/>
      <c r="V2346" s="2"/>
    </row>
    <row r="2347" spans="17:22" x14ac:dyDescent="0.25">
      <c r="Q2347"/>
      <c r="V2347" s="2"/>
    </row>
    <row r="2348" spans="17:22" x14ac:dyDescent="0.25">
      <c r="Q2348"/>
      <c r="V2348" s="2"/>
    </row>
    <row r="2349" spans="17:22" x14ac:dyDescent="0.25">
      <c r="Q2349"/>
      <c r="V2349" s="2"/>
    </row>
    <row r="2350" spans="17:22" x14ac:dyDescent="0.25">
      <c r="Q2350"/>
      <c r="V2350" s="2"/>
    </row>
    <row r="2351" spans="17:22" x14ac:dyDescent="0.25">
      <c r="Q2351"/>
      <c r="V2351" s="2"/>
    </row>
    <row r="2352" spans="17:22" x14ac:dyDescent="0.25">
      <c r="Q2352"/>
      <c r="V2352" s="2"/>
    </row>
    <row r="2353" spans="17:22" x14ac:dyDescent="0.25">
      <c r="Q2353"/>
      <c r="V2353" s="2"/>
    </row>
    <row r="2354" spans="17:22" x14ac:dyDescent="0.25">
      <c r="Q2354"/>
      <c r="V2354" s="2"/>
    </row>
    <row r="2355" spans="17:22" x14ac:dyDescent="0.25">
      <c r="Q2355"/>
      <c r="V2355" s="2"/>
    </row>
    <row r="2356" spans="17:22" x14ac:dyDescent="0.25">
      <c r="Q2356"/>
      <c r="V2356" s="2"/>
    </row>
    <row r="2357" spans="17:22" x14ac:dyDescent="0.25">
      <c r="Q2357"/>
      <c r="V2357" s="2"/>
    </row>
    <row r="2358" spans="17:22" x14ac:dyDescent="0.25">
      <c r="Q2358"/>
      <c r="V2358" s="2"/>
    </row>
    <row r="2359" spans="17:22" x14ac:dyDescent="0.25">
      <c r="Q2359"/>
      <c r="V2359" s="2"/>
    </row>
    <row r="2360" spans="17:22" x14ac:dyDescent="0.25">
      <c r="Q2360"/>
      <c r="V2360" s="2"/>
    </row>
    <row r="2361" spans="17:22" x14ac:dyDescent="0.25">
      <c r="Q2361"/>
      <c r="V2361" s="2"/>
    </row>
    <row r="2362" spans="17:22" x14ac:dyDescent="0.25">
      <c r="Q2362"/>
      <c r="V2362" s="2"/>
    </row>
    <row r="2363" spans="17:22" x14ac:dyDescent="0.25">
      <c r="Q2363"/>
      <c r="V2363" s="2"/>
    </row>
    <row r="2364" spans="17:22" x14ac:dyDescent="0.25">
      <c r="Q2364"/>
      <c r="V2364" s="2"/>
    </row>
    <row r="2365" spans="17:22" x14ac:dyDescent="0.25">
      <c r="Q2365"/>
      <c r="V2365" s="2"/>
    </row>
    <row r="2366" spans="17:22" x14ac:dyDescent="0.25">
      <c r="Q2366"/>
      <c r="V2366" s="2"/>
    </row>
    <row r="2367" spans="17:22" x14ac:dyDescent="0.25">
      <c r="Q2367"/>
      <c r="V2367" s="2"/>
    </row>
    <row r="2368" spans="17:22" x14ac:dyDescent="0.25">
      <c r="Q2368"/>
      <c r="V2368" s="2"/>
    </row>
    <row r="2369" spans="17:22" x14ac:dyDescent="0.25">
      <c r="Q2369"/>
      <c r="V2369" s="2"/>
    </row>
    <row r="2370" spans="17:22" x14ac:dyDescent="0.25">
      <c r="Q2370"/>
      <c r="V2370" s="2"/>
    </row>
    <row r="2371" spans="17:22" x14ac:dyDescent="0.25">
      <c r="Q2371"/>
      <c r="V2371" s="2"/>
    </row>
    <row r="2372" spans="17:22" x14ac:dyDescent="0.25">
      <c r="Q2372"/>
      <c r="V2372" s="2"/>
    </row>
    <row r="2373" spans="17:22" x14ac:dyDescent="0.25">
      <c r="Q2373"/>
      <c r="V2373" s="2"/>
    </row>
    <row r="2374" spans="17:22" x14ac:dyDescent="0.25">
      <c r="Q2374"/>
      <c r="V2374" s="2"/>
    </row>
    <row r="2375" spans="17:22" x14ac:dyDescent="0.25">
      <c r="Q2375"/>
      <c r="V2375" s="2"/>
    </row>
    <row r="2376" spans="17:22" x14ac:dyDescent="0.25">
      <c r="Q2376"/>
      <c r="V2376" s="2"/>
    </row>
    <row r="2377" spans="17:22" x14ac:dyDescent="0.25">
      <c r="Q2377"/>
      <c r="V2377" s="2"/>
    </row>
    <row r="2378" spans="17:22" x14ac:dyDescent="0.25">
      <c r="Q2378"/>
      <c r="V2378" s="2"/>
    </row>
    <row r="2379" spans="17:22" x14ac:dyDescent="0.25">
      <c r="Q2379"/>
      <c r="V2379" s="2"/>
    </row>
    <row r="2380" spans="17:22" x14ac:dyDescent="0.25">
      <c r="Q2380"/>
      <c r="V2380" s="2"/>
    </row>
    <row r="2381" spans="17:22" x14ac:dyDescent="0.25">
      <c r="Q2381"/>
      <c r="V2381" s="2"/>
    </row>
    <row r="2382" spans="17:22" x14ac:dyDescent="0.25">
      <c r="Q2382"/>
      <c r="V2382" s="2"/>
    </row>
    <row r="2383" spans="17:22" x14ac:dyDescent="0.25">
      <c r="Q2383"/>
      <c r="V2383" s="2"/>
    </row>
    <row r="2384" spans="17:22" x14ac:dyDescent="0.25">
      <c r="Q2384"/>
      <c r="V2384" s="2"/>
    </row>
    <row r="2385" spans="17:22" x14ac:dyDescent="0.25">
      <c r="Q2385"/>
      <c r="V2385" s="2"/>
    </row>
    <row r="2386" spans="17:22" x14ac:dyDescent="0.25">
      <c r="Q2386"/>
      <c r="V2386" s="2"/>
    </row>
    <row r="2387" spans="17:22" x14ac:dyDescent="0.25">
      <c r="Q2387"/>
      <c r="V2387" s="2"/>
    </row>
    <row r="2388" spans="17:22" x14ac:dyDescent="0.25">
      <c r="Q2388"/>
      <c r="V2388" s="2"/>
    </row>
    <row r="2389" spans="17:22" x14ac:dyDescent="0.25">
      <c r="Q2389"/>
      <c r="V2389" s="2"/>
    </row>
    <row r="2390" spans="17:22" x14ac:dyDescent="0.25">
      <c r="Q2390"/>
      <c r="V2390" s="2"/>
    </row>
    <row r="2391" spans="17:22" x14ac:dyDescent="0.25">
      <c r="Q2391"/>
      <c r="V2391" s="2"/>
    </row>
    <row r="2392" spans="17:22" x14ac:dyDescent="0.25">
      <c r="Q2392"/>
      <c r="V2392" s="2"/>
    </row>
    <row r="2393" spans="17:22" x14ac:dyDescent="0.25">
      <c r="Q2393"/>
      <c r="V2393" s="2"/>
    </row>
    <row r="2394" spans="17:22" x14ac:dyDescent="0.25">
      <c r="Q2394"/>
      <c r="V2394" s="2"/>
    </row>
    <row r="2395" spans="17:22" x14ac:dyDescent="0.25">
      <c r="Q2395"/>
      <c r="V2395" s="2"/>
    </row>
    <row r="2396" spans="17:22" x14ac:dyDescent="0.25">
      <c r="Q2396"/>
      <c r="V2396" s="2"/>
    </row>
    <row r="2397" spans="17:22" x14ac:dyDescent="0.25">
      <c r="Q2397"/>
      <c r="V2397" s="2"/>
    </row>
    <row r="2398" spans="17:22" x14ac:dyDescent="0.25">
      <c r="Q2398"/>
      <c r="V2398" s="2"/>
    </row>
    <row r="2399" spans="17:22" x14ac:dyDescent="0.25">
      <c r="Q2399"/>
      <c r="V2399" s="2"/>
    </row>
    <row r="2400" spans="17:22" x14ac:dyDescent="0.25">
      <c r="Q2400"/>
      <c r="V2400" s="2"/>
    </row>
    <row r="2401" spans="17:22" x14ac:dyDescent="0.25">
      <c r="Q2401"/>
      <c r="V2401" s="2"/>
    </row>
    <row r="2402" spans="17:22" x14ac:dyDescent="0.25">
      <c r="Q2402"/>
      <c r="V2402" s="2"/>
    </row>
    <row r="2403" spans="17:22" x14ac:dyDescent="0.25">
      <c r="Q2403"/>
      <c r="V2403" s="2"/>
    </row>
    <row r="2404" spans="17:22" x14ac:dyDescent="0.25">
      <c r="Q2404"/>
      <c r="V2404" s="2"/>
    </row>
    <row r="2405" spans="17:22" x14ac:dyDescent="0.25">
      <c r="Q2405"/>
      <c r="V2405" s="2"/>
    </row>
    <row r="2406" spans="17:22" x14ac:dyDescent="0.25">
      <c r="Q2406"/>
      <c r="V2406" s="2"/>
    </row>
    <row r="2407" spans="17:22" x14ac:dyDescent="0.25">
      <c r="Q2407"/>
      <c r="V2407" s="2"/>
    </row>
    <row r="2408" spans="17:22" x14ac:dyDescent="0.25">
      <c r="Q2408"/>
      <c r="V2408" s="2"/>
    </row>
    <row r="2409" spans="17:22" x14ac:dyDescent="0.25">
      <c r="Q2409"/>
      <c r="V2409" s="2"/>
    </row>
    <row r="2410" spans="17:22" x14ac:dyDescent="0.25">
      <c r="Q2410"/>
      <c r="V2410" s="2"/>
    </row>
    <row r="2411" spans="17:22" x14ac:dyDescent="0.25">
      <c r="Q2411"/>
      <c r="V2411" s="2"/>
    </row>
    <row r="2412" spans="17:22" x14ac:dyDescent="0.25">
      <c r="Q2412"/>
      <c r="V2412" s="2"/>
    </row>
    <row r="2413" spans="17:22" x14ac:dyDescent="0.25">
      <c r="Q2413"/>
      <c r="V2413" s="2"/>
    </row>
    <row r="2414" spans="17:22" x14ac:dyDescent="0.25">
      <c r="Q2414"/>
      <c r="V2414" s="2"/>
    </row>
    <row r="2415" spans="17:22" x14ac:dyDescent="0.25">
      <c r="Q2415"/>
      <c r="V2415" s="2"/>
    </row>
    <row r="2416" spans="17:22" x14ac:dyDescent="0.25">
      <c r="Q2416"/>
      <c r="V2416" s="2"/>
    </row>
    <row r="2417" spans="17:22" x14ac:dyDescent="0.25">
      <c r="Q2417"/>
      <c r="V2417" s="2"/>
    </row>
    <row r="2418" spans="17:22" x14ac:dyDescent="0.25">
      <c r="Q2418"/>
      <c r="V2418" s="2"/>
    </row>
    <row r="2419" spans="17:22" x14ac:dyDescent="0.25">
      <c r="Q2419"/>
      <c r="V2419" s="2"/>
    </row>
    <row r="2420" spans="17:22" x14ac:dyDescent="0.25">
      <c r="Q2420"/>
      <c r="V2420" s="2"/>
    </row>
    <row r="2421" spans="17:22" x14ac:dyDescent="0.25">
      <c r="Q2421"/>
      <c r="V2421" s="2"/>
    </row>
    <row r="2422" spans="17:22" x14ac:dyDescent="0.25">
      <c r="Q2422"/>
      <c r="V2422" s="2"/>
    </row>
    <row r="2423" spans="17:22" x14ac:dyDescent="0.25">
      <c r="Q2423"/>
      <c r="V2423" s="2"/>
    </row>
    <row r="2424" spans="17:22" x14ac:dyDescent="0.25">
      <c r="Q2424"/>
      <c r="V2424" s="2"/>
    </row>
    <row r="2425" spans="17:22" x14ac:dyDescent="0.25">
      <c r="Q2425"/>
      <c r="V2425" s="2"/>
    </row>
    <row r="2426" spans="17:22" x14ac:dyDescent="0.25">
      <c r="Q2426"/>
      <c r="V2426" s="2"/>
    </row>
    <row r="2427" spans="17:22" x14ac:dyDescent="0.25">
      <c r="Q2427"/>
      <c r="V2427" s="2"/>
    </row>
    <row r="2428" spans="17:22" x14ac:dyDescent="0.25">
      <c r="Q2428"/>
      <c r="V2428" s="2"/>
    </row>
    <row r="2429" spans="17:22" x14ac:dyDescent="0.25">
      <c r="Q2429"/>
      <c r="V2429" s="2"/>
    </row>
    <row r="2430" spans="17:22" x14ac:dyDescent="0.25">
      <c r="Q2430"/>
      <c r="V2430" s="2"/>
    </row>
    <row r="2431" spans="17:22" x14ac:dyDescent="0.25">
      <c r="Q2431"/>
      <c r="V2431" s="2"/>
    </row>
    <row r="2432" spans="17:22" x14ac:dyDescent="0.25">
      <c r="Q2432"/>
      <c r="V2432" s="2"/>
    </row>
    <row r="2433" spans="17:22" x14ac:dyDescent="0.25">
      <c r="Q2433"/>
      <c r="V2433" s="2"/>
    </row>
    <row r="2434" spans="17:22" x14ac:dyDescent="0.25">
      <c r="Q2434"/>
      <c r="V2434" s="2"/>
    </row>
    <row r="2435" spans="17:22" x14ac:dyDescent="0.25">
      <c r="Q2435"/>
      <c r="V2435" s="2"/>
    </row>
    <row r="2436" spans="17:22" x14ac:dyDescent="0.25">
      <c r="Q2436"/>
      <c r="V2436" s="2"/>
    </row>
    <row r="2437" spans="17:22" x14ac:dyDescent="0.25">
      <c r="Q2437"/>
      <c r="V2437" s="2"/>
    </row>
    <row r="2438" spans="17:22" x14ac:dyDescent="0.25">
      <c r="Q2438"/>
      <c r="V2438" s="2"/>
    </row>
    <row r="2439" spans="17:22" x14ac:dyDescent="0.25">
      <c r="Q2439"/>
      <c r="V2439" s="2"/>
    </row>
    <row r="2440" spans="17:22" x14ac:dyDescent="0.25">
      <c r="Q2440"/>
      <c r="V2440" s="2"/>
    </row>
    <row r="2441" spans="17:22" x14ac:dyDescent="0.25">
      <c r="Q2441"/>
      <c r="V2441" s="2"/>
    </row>
    <row r="2442" spans="17:22" x14ac:dyDescent="0.25">
      <c r="Q2442"/>
      <c r="V2442" s="2"/>
    </row>
    <row r="2443" spans="17:22" x14ac:dyDescent="0.25">
      <c r="Q2443"/>
      <c r="V2443" s="2"/>
    </row>
    <row r="2444" spans="17:22" x14ac:dyDescent="0.25">
      <c r="Q2444"/>
      <c r="V2444" s="2"/>
    </row>
    <row r="2445" spans="17:22" x14ac:dyDescent="0.25">
      <c r="Q2445"/>
      <c r="V2445" s="2"/>
    </row>
    <row r="2446" spans="17:22" x14ac:dyDescent="0.25">
      <c r="Q2446"/>
      <c r="V2446" s="2"/>
    </row>
    <row r="2447" spans="17:22" x14ac:dyDescent="0.25">
      <c r="Q2447"/>
      <c r="V2447" s="2"/>
    </row>
    <row r="2448" spans="17:22" x14ac:dyDescent="0.25">
      <c r="Q2448"/>
      <c r="V2448" s="2"/>
    </row>
    <row r="2449" spans="17:22" x14ac:dyDescent="0.25">
      <c r="Q2449"/>
      <c r="V2449" s="2"/>
    </row>
    <row r="2450" spans="17:22" x14ac:dyDescent="0.25">
      <c r="Q2450"/>
      <c r="V2450" s="2"/>
    </row>
    <row r="2451" spans="17:22" x14ac:dyDescent="0.25">
      <c r="Q2451"/>
      <c r="V2451" s="2"/>
    </row>
    <row r="2452" spans="17:22" x14ac:dyDescent="0.25">
      <c r="Q2452"/>
      <c r="V2452" s="2"/>
    </row>
    <row r="2453" spans="17:22" x14ac:dyDescent="0.25">
      <c r="Q2453"/>
      <c r="V2453" s="2"/>
    </row>
    <row r="2454" spans="17:22" x14ac:dyDescent="0.25">
      <c r="Q2454"/>
      <c r="V2454" s="2"/>
    </row>
    <row r="2455" spans="17:22" x14ac:dyDescent="0.25">
      <c r="Q2455"/>
      <c r="V2455" s="2"/>
    </row>
    <row r="2456" spans="17:22" x14ac:dyDescent="0.25">
      <c r="Q2456"/>
      <c r="V2456" s="2"/>
    </row>
    <row r="2457" spans="17:22" x14ac:dyDescent="0.25">
      <c r="Q2457"/>
      <c r="V2457" s="2"/>
    </row>
    <row r="2458" spans="17:22" x14ac:dyDescent="0.25">
      <c r="Q2458"/>
      <c r="V2458" s="2"/>
    </row>
    <row r="2459" spans="17:22" x14ac:dyDescent="0.25">
      <c r="Q2459"/>
      <c r="V2459" s="2"/>
    </row>
    <row r="2460" spans="17:22" x14ac:dyDescent="0.25">
      <c r="Q2460"/>
      <c r="V2460" s="2"/>
    </row>
    <row r="2461" spans="17:22" x14ac:dyDescent="0.25">
      <c r="Q2461"/>
      <c r="V2461" s="2"/>
    </row>
    <row r="2462" spans="17:22" x14ac:dyDescent="0.25">
      <c r="Q2462"/>
      <c r="V2462" s="2"/>
    </row>
    <row r="2463" spans="17:22" x14ac:dyDescent="0.25">
      <c r="Q2463"/>
      <c r="V2463" s="2"/>
    </row>
    <row r="2464" spans="17:22" x14ac:dyDescent="0.25">
      <c r="Q2464"/>
      <c r="V2464" s="2"/>
    </row>
    <row r="2465" spans="17:22" x14ac:dyDescent="0.25">
      <c r="Q2465"/>
      <c r="V2465" s="2"/>
    </row>
    <row r="2466" spans="17:22" x14ac:dyDescent="0.25">
      <c r="Q2466"/>
      <c r="V2466" s="2"/>
    </row>
    <row r="2467" spans="17:22" x14ac:dyDescent="0.25">
      <c r="Q2467"/>
      <c r="V2467" s="2"/>
    </row>
    <row r="2468" spans="17:22" x14ac:dyDescent="0.25">
      <c r="Q2468"/>
      <c r="V2468" s="2"/>
    </row>
    <row r="2469" spans="17:22" x14ac:dyDescent="0.25">
      <c r="Q2469"/>
      <c r="V2469" s="2"/>
    </row>
    <row r="2470" spans="17:22" x14ac:dyDescent="0.25">
      <c r="Q2470"/>
      <c r="V2470" s="2"/>
    </row>
    <row r="2471" spans="17:22" x14ac:dyDescent="0.25">
      <c r="Q2471"/>
      <c r="V2471" s="2"/>
    </row>
    <row r="2472" spans="17:22" x14ac:dyDescent="0.25">
      <c r="Q2472"/>
      <c r="V2472" s="2"/>
    </row>
    <row r="2473" spans="17:22" x14ac:dyDescent="0.25">
      <c r="Q2473"/>
      <c r="V2473" s="2"/>
    </row>
    <row r="2474" spans="17:22" x14ac:dyDescent="0.25">
      <c r="Q2474"/>
      <c r="V2474" s="2"/>
    </row>
    <row r="2475" spans="17:22" x14ac:dyDescent="0.25">
      <c r="Q2475"/>
      <c r="V2475" s="2"/>
    </row>
    <row r="2476" spans="17:22" x14ac:dyDescent="0.25">
      <c r="Q2476"/>
      <c r="V2476" s="2"/>
    </row>
    <row r="2477" spans="17:22" x14ac:dyDescent="0.25">
      <c r="Q2477"/>
      <c r="V2477" s="2"/>
    </row>
    <row r="2478" spans="17:22" x14ac:dyDescent="0.25">
      <c r="Q2478"/>
      <c r="V2478" s="2"/>
    </row>
    <row r="2479" spans="17:22" x14ac:dyDescent="0.25">
      <c r="Q2479"/>
      <c r="V2479" s="2"/>
    </row>
    <row r="2480" spans="17:22" x14ac:dyDescent="0.25">
      <c r="Q2480"/>
      <c r="V2480" s="2"/>
    </row>
    <row r="2481" spans="17:22" x14ac:dyDescent="0.25">
      <c r="Q2481"/>
      <c r="V2481" s="2"/>
    </row>
    <row r="2482" spans="17:22" x14ac:dyDescent="0.25">
      <c r="Q2482"/>
      <c r="V2482" s="2"/>
    </row>
    <row r="2483" spans="17:22" x14ac:dyDescent="0.25">
      <c r="Q2483"/>
      <c r="V2483" s="2"/>
    </row>
  </sheetData>
  <phoneticPr fontId="5" type="noConversion"/>
  <conditionalFormatting sqref="N1:P155 N156:O1048576">
    <cfRule type="cellIs" dxfId="3" priority="5" operator="equal">
      <formula>0</formula>
    </cfRule>
    <cfRule type="cellIs" dxfId="2" priority="6" operator="lessThan">
      <formula>0</formula>
    </cfRule>
    <cfRule type="cellIs" dxfId="1" priority="7" operator="greaterThan">
      <formula>0</formula>
    </cfRule>
  </conditionalFormatting>
  <conditionalFormatting sqref="O1:O155 N156:N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FB3F-5B99-43AA-AA14-08A6FA3FC1FC}">
  <dimension ref="B2:M38"/>
  <sheetViews>
    <sheetView showGridLines="0" topLeftCell="A2" zoomScaleNormal="100" workbookViewId="0">
      <selection activeCell="C37" sqref="C37"/>
    </sheetView>
  </sheetViews>
  <sheetFormatPr defaultRowHeight="15" x14ac:dyDescent="0.25"/>
  <cols>
    <col min="1" max="1" width="7.7109375" customWidth="1"/>
    <col min="2" max="2" width="1.42578125" customWidth="1"/>
    <col min="3" max="3" width="13.140625" bestFit="1" customWidth="1"/>
    <col min="4" max="4" width="18.5703125" bestFit="1" customWidth="1"/>
    <col min="5" max="5" width="14.28515625" bestFit="1" customWidth="1"/>
    <col min="6" max="6" width="7.5703125" customWidth="1"/>
    <col min="7" max="7" width="2.5703125" customWidth="1"/>
    <col min="8" max="8" width="13.140625" bestFit="1" customWidth="1"/>
    <col min="9" max="9" width="16.42578125" bestFit="1" customWidth="1"/>
    <col min="12" max="12" width="13.140625" bestFit="1" customWidth="1"/>
    <col min="13" max="13" width="18.5703125" bestFit="1" customWidth="1"/>
  </cols>
  <sheetData>
    <row r="2" spans="2:9" x14ac:dyDescent="0.25">
      <c r="B2" s="15" t="s">
        <v>150</v>
      </c>
      <c r="G2" s="15" t="s">
        <v>149</v>
      </c>
    </row>
    <row r="4" spans="2:9" x14ac:dyDescent="0.25">
      <c r="C4" s="16" t="s">
        <v>144</v>
      </c>
      <c r="D4" t="s">
        <v>147</v>
      </c>
      <c r="E4" s="5" t="s">
        <v>148</v>
      </c>
      <c r="H4" s="16" t="s">
        <v>144</v>
      </c>
      <c r="I4" t="s">
        <v>143</v>
      </c>
    </row>
    <row r="5" spans="2:9" x14ac:dyDescent="0.25">
      <c r="C5" s="14" t="s">
        <v>69</v>
      </c>
      <c r="D5" s="2">
        <v>1821.29</v>
      </c>
      <c r="E5" s="5">
        <v>0.22005844084540291</v>
      </c>
      <c r="H5" s="14" t="s">
        <v>9</v>
      </c>
      <c r="I5" s="2">
        <v>2894.0999999999995</v>
      </c>
    </row>
    <row r="6" spans="2:9" x14ac:dyDescent="0.25">
      <c r="C6" s="14" t="s">
        <v>67</v>
      </c>
      <c r="D6" s="2">
        <v>1509.31</v>
      </c>
      <c r="E6" s="5">
        <v>0.21592155930998852</v>
      </c>
      <c r="H6" s="14" t="s">
        <v>61</v>
      </c>
      <c r="I6" s="2">
        <v>2650.64</v>
      </c>
    </row>
    <row r="7" spans="2:9" x14ac:dyDescent="0.25">
      <c r="C7" s="14" t="s">
        <v>114</v>
      </c>
      <c r="D7" s="2">
        <v>987.55</v>
      </c>
      <c r="E7" s="5">
        <v>0.25177222607117289</v>
      </c>
      <c r="H7" s="14" t="s">
        <v>125</v>
      </c>
      <c r="I7" s="2">
        <v>1363.36</v>
      </c>
    </row>
    <row r="8" spans="2:9" x14ac:dyDescent="0.25">
      <c r="C8" s="14" t="s">
        <v>68</v>
      </c>
      <c r="D8" s="2">
        <v>697.69</v>
      </c>
      <c r="E8" s="5">
        <v>0.1873382490975577</v>
      </c>
      <c r="H8" s="14" t="s">
        <v>94</v>
      </c>
      <c r="I8" s="2">
        <v>408</v>
      </c>
    </row>
    <row r="9" spans="2:9" x14ac:dyDescent="0.25">
      <c r="C9" s="14" t="s">
        <v>109</v>
      </c>
      <c r="D9" s="2">
        <v>684.16000000000008</v>
      </c>
      <c r="E9" s="5">
        <v>0.26752530645443195</v>
      </c>
      <c r="H9" s="14" t="s">
        <v>24</v>
      </c>
      <c r="I9" s="2">
        <v>293.81</v>
      </c>
    </row>
    <row r="10" spans="2:9" x14ac:dyDescent="0.25">
      <c r="C10" s="14" t="s">
        <v>206</v>
      </c>
      <c r="D10" s="2">
        <v>485.55</v>
      </c>
      <c r="E10" s="5">
        <v>0.37921932308623957</v>
      </c>
      <c r="H10" s="14" t="s">
        <v>146</v>
      </c>
      <c r="I10" s="2">
        <v>7609.91</v>
      </c>
    </row>
    <row r="11" spans="2:9" x14ac:dyDescent="0.25">
      <c r="C11" s="14" t="s">
        <v>181</v>
      </c>
      <c r="D11" s="2">
        <v>220</v>
      </c>
      <c r="E11" s="5">
        <v>0.18339558045440396</v>
      </c>
    </row>
    <row r="12" spans="2:9" x14ac:dyDescent="0.25">
      <c r="C12" s="14" t="s">
        <v>76</v>
      </c>
      <c r="D12" s="2">
        <v>148</v>
      </c>
      <c r="E12" s="5">
        <v>0.62117604617604627</v>
      </c>
    </row>
    <row r="13" spans="2:9" x14ac:dyDescent="0.25">
      <c r="C13" s="14" t="s">
        <v>208</v>
      </c>
      <c r="D13" s="2">
        <v>147.05000000000001</v>
      </c>
      <c r="E13" s="5">
        <v>0.24866217029226434</v>
      </c>
    </row>
    <row r="14" spans="2:9" x14ac:dyDescent="0.25">
      <c r="C14" s="14" t="s">
        <v>178</v>
      </c>
      <c r="D14" s="2">
        <v>72</v>
      </c>
      <c r="E14" s="5">
        <v>0.5625</v>
      </c>
    </row>
    <row r="15" spans="2:9" x14ac:dyDescent="0.25">
      <c r="C15" s="14" t="s">
        <v>146</v>
      </c>
      <c r="D15" s="2">
        <v>6772.6000000000013</v>
      </c>
      <c r="E15" s="5">
        <v>0.24771739828609271</v>
      </c>
    </row>
    <row r="19" spans="11:13" x14ac:dyDescent="0.25">
      <c r="K19" s="17" t="s">
        <v>159</v>
      </c>
    </row>
    <row r="21" spans="11:13" x14ac:dyDescent="0.25">
      <c r="L21" s="16" t="s">
        <v>144</v>
      </c>
      <c r="M21" t="s">
        <v>147</v>
      </c>
    </row>
    <row r="22" spans="11:13" x14ac:dyDescent="0.25">
      <c r="L22" s="14" t="s">
        <v>145</v>
      </c>
      <c r="M22" s="2">
        <v>0</v>
      </c>
    </row>
    <row r="23" spans="11:13" x14ac:dyDescent="0.25">
      <c r="L23" s="14" t="s">
        <v>198</v>
      </c>
      <c r="M23" s="2">
        <v>763.75</v>
      </c>
    </row>
    <row r="24" spans="11:13" x14ac:dyDescent="0.25">
      <c r="L24" s="14" t="s">
        <v>232</v>
      </c>
      <c r="M24" s="2">
        <v>1007.1500000000001</v>
      </c>
    </row>
    <row r="25" spans="11:13" x14ac:dyDescent="0.25">
      <c r="L25" s="14" t="s">
        <v>216</v>
      </c>
      <c r="M25" s="2">
        <v>397.7</v>
      </c>
    </row>
    <row r="26" spans="11:13" x14ac:dyDescent="0.25">
      <c r="L26" s="14" t="s">
        <v>197</v>
      </c>
      <c r="M26" s="2">
        <v>560.11</v>
      </c>
    </row>
    <row r="27" spans="11:13" x14ac:dyDescent="0.25">
      <c r="L27" s="14" t="s">
        <v>196</v>
      </c>
      <c r="M27" s="2">
        <v>925</v>
      </c>
    </row>
    <row r="28" spans="11:13" x14ac:dyDescent="0.25">
      <c r="L28" s="14" t="s">
        <v>158</v>
      </c>
      <c r="M28" s="2">
        <v>647</v>
      </c>
    </row>
    <row r="29" spans="11:13" x14ac:dyDescent="0.25">
      <c r="L29" s="14" t="s">
        <v>157</v>
      </c>
      <c r="M29" s="2">
        <v>351.06</v>
      </c>
    </row>
    <row r="30" spans="11:13" x14ac:dyDescent="0.25">
      <c r="L30" s="14" t="s">
        <v>156</v>
      </c>
      <c r="M30" s="2">
        <v>293.73999999999995</v>
      </c>
    </row>
    <row r="31" spans="11:13" x14ac:dyDescent="0.25">
      <c r="L31" s="14" t="s">
        <v>155</v>
      </c>
      <c r="M31" s="2">
        <v>773.56</v>
      </c>
    </row>
    <row r="32" spans="11:13" x14ac:dyDescent="0.25">
      <c r="L32" s="14" t="s">
        <v>154</v>
      </c>
      <c r="M32" s="2">
        <v>817.64</v>
      </c>
    </row>
    <row r="33" spans="3:13" x14ac:dyDescent="0.25">
      <c r="L33" s="14" t="s">
        <v>153</v>
      </c>
      <c r="M33" s="2">
        <v>292.40000000000003</v>
      </c>
    </row>
    <row r="34" spans="3:13" x14ac:dyDescent="0.25">
      <c r="L34" s="14" t="s">
        <v>152</v>
      </c>
      <c r="M34" s="2">
        <v>5</v>
      </c>
    </row>
    <row r="35" spans="3:13" x14ac:dyDescent="0.25">
      <c r="L35" s="14" t="s">
        <v>146</v>
      </c>
      <c r="M35" s="2">
        <v>6834.11</v>
      </c>
    </row>
    <row r="38" spans="3:13" x14ac:dyDescent="0.25">
      <c r="C38" t="s">
        <v>257</v>
      </c>
    </row>
  </sheetData>
  <pageMargins left="0.7" right="0.7" top="0.75" bottom="0.75" header="0.3" footer="0.3"/>
  <pageSetup paperSize="9" orientation="portrait" horizontalDpi="300" verticalDpi="30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 Data Sheet</vt:lpstr>
      <vt:lpstr>Input Sheet</vt:lpstr>
      <vt:lpstr>Suggestion3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kosnik</dc:creator>
  <cp:lastModifiedBy>michal kosnik</cp:lastModifiedBy>
  <dcterms:created xsi:type="dcterms:W3CDTF">2021-04-11T18:17:54Z</dcterms:created>
  <dcterms:modified xsi:type="dcterms:W3CDTF">2026-05-25T20:47:02Z</dcterms:modified>
</cp:coreProperties>
</file>