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hidePivotFieldList="1" defaultThemeVersion="166925"/>
  <mc:AlternateContent xmlns:mc="http://schemas.openxmlformats.org/markup-compatibility/2006">
    <mc:Choice Requires="x15">
      <x15ac:absPath xmlns:x15ac="http://schemas.microsoft.com/office/spreadsheetml/2010/11/ac" url="C:\Users\micha\OneDrive\Desktop\"/>
    </mc:Choice>
  </mc:AlternateContent>
  <xr:revisionPtr revIDLastSave="0" documentId="13_ncr:1_{F6C779DF-03E8-42FC-A372-31C7817E41DC}" xr6:coauthVersionLast="47" xr6:coauthVersionMax="47" xr10:uidLastSave="{00000000-0000-0000-0000-000000000000}"/>
  <bookViews>
    <workbookView xWindow="-28770" yWindow="30" windowWidth="28770" windowHeight="15450" xr2:uid="{00000000-000D-0000-FFFF-FFFF00000000}"/>
  </bookViews>
  <sheets>
    <sheet name="Dashboard" sheetId="4" r:id="rId1"/>
    <sheet name="data1" sheetId="1" r:id="rId2"/>
    <sheet name="data2" sheetId="2" r:id="rId3"/>
  </sheets>
  <definedNames>
    <definedName name="_xlchart.v1.0" hidden="1">data1!$P$1:$Q$1</definedName>
    <definedName name="_xlchart.v1.1" hidden="1">data1!$P$2:$Q$2</definedName>
    <definedName name="_xlchart.v2.2" hidden="1">data1!$Q$17:$Q$21</definedName>
    <definedName name="_xlchart.v2.3" hidden="1">data1!$U$17:$U$21</definedName>
    <definedName name="_xlchart.v2.4" hidden="1">data1!$Q$11:$Q$15</definedName>
    <definedName name="_xlchart.v2.5" hidden="1">data1!$U$11:$U$15</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 l="1"/>
  <c r="Q10" i="4" l="1"/>
</calcChain>
</file>

<file path=xl/sharedStrings.xml><?xml version="1.0" encoding="utf-8"?>
<sst xmlns="http://schemas.openxmlformats.org/spreadsheetml/2006/main" count="1172" uniqueCount="36">
  <si>
    <t>Observation</t>
  </si>
  <si>
    <t>Date</t>
  </si>
  <si>
    <t>Season</t>
  </si>
  <si>
    <t>Holiday</t>
  </si>
  <si>
    <t>Operating Day</t>
  </si>
  <si>
    <t>Total Rentals</t>
  </si>
  <si>
    <t>Avg. Temp</t>
  </si>
  <si>
    <t>Avg. Humidity</t>
  </si>
  <si>
    <t>Avg. Wind</t>
  </si>
  <si>
    <t>Avg. Visibility</t>
  </si>
  <si>
    <t>Avg. Dew Point Temp</t>
  </si>
  <si>
    <t>Avg. Solar Radiation</t>
  </si>
  <si>
    <t>Total Rain</t>
  </si>
  <si>
    <t>Total Snow</t>
  </si>
  <si>
    <t>Winter</t>
  </si>
  <si>
    <t>No Holiday</t>
  </si>
  <si>
    <t>Yes</t>
  </si>
  <si>
    <t>Spring</t>
  </si>
  <si>
    <t>No</t>
  </si>
  <si>
    <t>Summer</t>
  </si>
  <si>
    <t>Autumn</t>
  </si>
  <si>
    <t>Total 'Total Rentals' by 'Date'</t>
  </si>
  <si>
    <t>Sum of Total Rentals</t>
  </si>
  <si>
    <t>Grand Total</t>
  </si>
  <si>
    <t>Total 'Total Rentals' by 'Season'</t>
  </si>
  <si>
    <t>Average 'Total Rentals' by 'Season'</t>
  </si>
  <si>
    <t>Average of Total Rentals</t>
  </si>
  <si>
    <t>Total rentals:</t>
  </si>
  <si>
    <t>operating days</t>
  </si>
  <si>
    <t>non operating days</t>
  </si>
  <si>
    <t>Column1</t>
  </si>
  <si>
    <t>Yearly Growth:</t>
  </si>
  <si>
    <t>Daily Average Over Year:</t>
  </si>
  <si>
    <t>First Week Average:</t>
  </si>
  <si>
    <t>Last Week Average:</t>
  </si>
  <si>
    <t>Yearly Rental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</si>
</sst>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rgb="FF000000"/>
      <name val="Calibri"/>
      <scheme val="minor"/>
    </font>
    <font>
      <b/>
      <sz val="11"/>
      <color rgb="FF006100"/>
      <name val="Calibri"/>
      <family val="2"/>
      <scheme val="minor"/>
    </font>
    <font>
      <b/>
      <sz val="11"/>
      <color rgb="FF3F3F76"/>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right/>
      <top style="thin">
        <color theme="4" tint="0.39997558519241921"/>
      </top>
      <bottom style="thin">
        <color theme="4" tint="0.39997558519241921"/>
      </bottom>
      <diagonal/>
    </border>
    <border>
      <left/>
      <right style="thin">
        <color indexed="64"/>
      </right>
      <top/>
      <bottom/>
      <diagonal/>
    </border>
    <border>
      <left/>
      <right/>
      <top style="thin">
        <color indexed="64"/>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1">
    <xf numFmtId="0" fontId="0" fillId="0" borderId="0" xfId="0"/>
    <xf numFmtId="14" fontId="0" fillId="0" borderId="0" xfId="0" applyNumberFormat="1"/>
    <xf numFmtId="0" fontId="18" fillId="0" borderId="0" xfId="0" applyFont="1" applyAlignment="1">
      <alignment horizontal="left" vertical="center"/>
    </xf>
    <xf numFmtId="0" fontId="0" fillId="0" borderId="0" xfId="0" pivotButton="1"/>
    <xf numFmtId="1" fontId="0" fillId="0" borderId="0" xfId="0" applyNumberFormat="1"/>
    <xf numFmtId="0" fontId="0" fillId="33" borderId="17" xfId="0" applyFill="1" applyBorder="1"/>
    <xf numFmtId="0" fontId="0" fillId="0" borderId="17" xfId="0" applyBorder="1"/>
    <xf numFmtId="14" fontId="0" fillId="33" borderId="17" xfId="0" applyNumberFormat="1" applyFill="1" applyBorder="1"/>
    <xf numFmtId="1" fontId="0" fillId="33" borderId="17" xfId="0" applyNumberFormat="1" applyFill="1" applyBorder="1"/>
    <xf numFmtId="14" fontId="0" fillId="0" borderId="17" xfId="0" applyNumberFormat="1" applyBorder="1"/>
    <xf numFmtId="1" fontId="0" fillId="0" borderId="17" xfId="0" applyNumberFormat="1" applyBorder="1"/>
    <xf numFmtId="14" fontId="0" fillId="0" borderId="0" xfId="0" applyNumberFormat="1" applyAlignment="1">
      <alignment horizontal="center"/>
    </xf>
    <xf numFmtId="0" fontId="0" fillId="0" borderId="0" xfId="0" applyAlignment="1">
      <alignment horizontal="left" vertical="center"/>
    </xf>
    <xf numFmtId="0" fontId="0" fillId="0" borderId="11" xfId="0" applyBorder="1" applyAlignment="1">
      <alignment horizontal="center" vertical="center"/>
    </xf>
    <xf numFmtId="0" fontId="8" fillId="4" borderId="11" xfId="8" applyBorder="1" applyAlignment="1">
      <alignment horizontal="center" vertical="center"/>
    </xf>
    <xf numFmtId="0" fontId="0" fillId="0" borderId="13" xfId="0" applyBorder="1" applyAlignment="1">
      <alignment horizontal="center" vertical="center"/>
    </xf>
    <xf numFmtId="0" fontId="8" fillId="4" borderId="14" xfId="8" applyBorder="1" applyAlignment="1">
      <alignment horizontal="center" vertical="center"/>
    </xf>
    <xf numFmtId="0" fontId="0" fillId="0" borderId="19" xfId="0" applyBorder="1" applyAlignment="1">
      <alignment horizontal="center" vertical="center"/>
    </xf>
    <xf numFmtId="1" fontId="0" fillId="0" borderId="0" xfId="0" applyNumberFormat="1" applyAlignment="1">
      <alignment horizontal="center" vertical="center"/>
    </xf>
    <xf numFmtId="1" fontId="0" fillId="0" borderId="0" xfId="42" applyNumberFormat="1" applyFont="1" applyBorder="1" applyAlignment="1">
      <alignment horizontal="center" vertical="center"/>
    </xf>
    <xf numFmtId="164" fontId="8" fillId="4" borderId="15" xfId="42" applyNumberFormat="1" applyFont="1" applyFill="1" applyBorder="1" applyAlignment="1">
      <alignment horizontal="center" vertical="center"/>
    </xf>
    <xf numFmtId="164" fontId="8" fillId="4" borderId="15" xfId="42" applyNumberFormat="1" applyFont="1" applyFill="1" applyBorder="1" applyAlignment="1">
      <alignment horizontal="right" vertical="center"/>
    </xf>
    <xf numFmtId="0" fontId="19" fillId="2" borderId="16" xfId="6" applyFont="1" applyBorder="1" applyAlignment="1">
      <alignment horizontal="center" vertical="top"/>
    </xf>
    <xf numFmtId="9" fontId="19" fillId="2" borderId="10" xfId="6" applyNumberFormat="1" applyFont="1" applyBorder="1" applyAlignment="1">
      <alignment horizontal="right" vertical="top"/>
    </xf>
    <xf numFmtId="164" fontId="8" fillId="4" borderId="14" xfId="42" applyNumberFormat="1" applyFont="1" applyFill="1" applyBorder="1" applyAlignment="1">
      <alignment horizontal="center" vertical="center"/>
    </xf>
    <xf numFmtId="0" fontId="8" fillId="4" borderId="12" xfId="8" applyBorder="1" applyAlignment="1">
      <alignment horizontal="center" vertical="center"/>
    </xf>
    <xf numFmtId="0" fontId="0" fillId="0" borderId="18" xfId="0" applyBorder="1" applyAlignment="1">
      <alignment horizontal="center" vertical="center"/>
    </xf>
    <xf numFmtId="164" fontId="8" fillId="4" borderId="20" xfId="42" applyNumberFormat="1" applyFont="1" applyFill="1" applyBorder="1" applyAlignment="1">
      <alignment horizontal="center" vertical="center"/>
    </xf>
    <xf numFmtId="0" fontId="8" fillId="4" borderId="22" xfId="8" applyBorder="1" applyAlignment="1">
      <alignment horizontal="center" vertical="center"/>
    </xf>
    <xf numFmtId="0" fontId="20" fillId="5" borderId="20" xfId="9" applyFont="1" applyBorder="1" applyAlignment="1">
      <alignment horizontal="center" vertical="center"/>
    </xf>
    <xf numFmtId="0" fontId="20" fillId="5" borderId="21" xfId="9"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19" formatCode="dd/mm/yyyy"/>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center" textRotation="0" wrapText="0" indent="0" justifyLastLine="0" shrinkToFit="0" readingOrder="0"/>
    </dxf>
  </dxfs>
  <tableStyles count="1" defaultTableStyle="TableStyleMedium2" defaultPivotStyle="PivotStyleLight16">
    <tableStyle name="Table Style 1" pivot="0" count="0" xr9:uid="{E30E77A8-012E-48C1-9502-E1082AB78C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[coursework excel.xlsx]data2!PivotTable2</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Total Rentals per Season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spPr>
          <a:solidFill>
            <a:schemeClr val="accent2"/>
          </a:solidFill>
          <a:ln w="19050">
            <a:solidFill>
              <a:schemeClr val="lt1"/>
            </a:solidFill>
          </a:ln>
          <a:effectLst>
            <a:outerShdw blurRad="50800" dist="38100" dir="2700000" algn="tl" rotWithShape="0">
              <a:prstClr val="black">
                <a:alpha val="40000"/>
              </a:prstClr>
            </a:outerShdw>
          </a:effectLst>
        </c:spPr>
        <c:marker>
          <c:symbol val="none"/>
        </c:marker>
        <c:dLbl>
          <c:idx val="0"/>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2"/>
          </a:solidFill>
          <a:ln w="19050">
            <a:solidFill>
              <a:schemeClr val="lt1"/>
            </a:solidFill>
          </a:ln>
          <a:effectLst>
            <a:outerShdw blurRad="50800" dist="38100" dir="2700000" algn="tl" rotWithShape="0">
              <a:prstClr val="black">
                <a:alpha val="40000"/>
              </a:prstClr>
            </a:outerShdw>
          </a:effectLst>
        </c:spPr>
        <c:dLbl>
          <c:idx val="0"/>
          <c:layout>
            <c:manualLayout>
              <c:x val="-0.16887479605589842"/>
              <c:y val="6.0234276271021681E-2"/>
            </c:manualLayout>
          </c:layout>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a:outerShdw blurRad="50800" dist="38100" dir="2700000" algn="tl" rotWithShape="0">
              <a:prstClr val="black">
                <a:alpha val="40000"/>
              </a:prstClr>
            </a:outerShdw>
          </a:effectLst>
        </c:spPr>
        <c:dLbl>
          <c:idx val="0"/>
          <c:layout>
            <c:manualLayout>
              <c:x val="4.7225934596013333E-2"/>
              <c:y val="-2.0664592851819447E-2"/>
            </c:manualLayout>
          </c:layout>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2"/>
          </a:solidFill>
          <a:ln w="19050">
            <a:solidFill>
              <a:schemeClr val="lt1"/>
            </a:solidFill>
          </a:ln>
          <a:effectLst>
            <a:outerShdw blurRad="50800" dist="38100" dir="2700000" algn="tl" rotWithShape="0">
              <a:prstClr val="black">
                <a:alpha val="40000"/>
              </a:prstClr>
            </a:outerShdw>
          </a:effectLst>
        </c:spPr>
        <c:dLbl>
          <c:idx val="0"/>
          <c:layout>
            <c:manualLayout>
              <c:x val="0.11144640703695821"/>
              <c:y val="2.7531836298240499E-2"/>
            </c:manualLayout>
          </c:layout>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2"/>
          </a:solidFill>
          <a:ln w="19050">
            <a:solidFill>
              <a:schemeClr val="lt1"/>
            </a:solidFill>
          </a:ln>
          <a:effectLst>
            <a:outerShdw blurRad="50800" dist="38100" dir="2700000" algn="tl" rotWithShape="0">
              <a:prstClr val="black">
                <a:alpha val="40000"/>
              </a:prstClr>
            </a:outerShdw>
          </a:effectLst>
        </c:spPr>
        <c:dLbl>
          <c:idx val="0"/>
          <c:layout>
            <c:manualLayout>
              <c:x val="6.1656522664396682E-2"/>
              <c:y val="6.325362107514336E-2"/>
            </c:manualLayout>
          </c:layout>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data2!$H$6</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E-B95B-4D7C-8B2E-27A652826F33}"/>
              </c:ext>
            </c:extLst>
          </c:dPt>
          <c:dPt>
            <c:idx val="1"/>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0-B95B-4D7C-8B2E-27A652826F33}"/>
              </c:ext>
            </c:extLst>
          </c:dPt>
          <c:dPt>
            <c:idx val="2"/>
            <c:bubble3D val="0"/>
            <c:spPr>
              <a:solidFill>
                <a:schemeClr val="accent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2-B95B-4D7C-8B2E-27A652826F33}"/>
              </c:ext>
            </c:extLst>
          </c:dPt>
          <c:dPt>
            <c:idx val="3"/>
            <c:bubble3D val="0"/>
            <c:spPr>
              <a:solidFill>
                <a:schemeClr val="accent2">
                  <a:lumMod val="6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4-B95B-4D7C-8B2E-27A652826F33}"/>
              </c:ext>
            </c:extLst>
          </c:dPt>
          <c:dLbls>
            <c:dLbl>
              <c:idx val="0"/>
              <c:layout>
                <c:manualLayout>
                  <c:x val="-0.16887479605589842"/>
                  <c:y val="6.0234276271021681E-2"/>
                </c:manualLayout>
              </c:layout>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E-B95B-4D7C-8B2E-27A652826F33}"/>
                </c:ext>
              </c:extLst>
            </c:dLbl>
            <c:dLbl>
              <c:idx val="1"/>
              <c:layout>
                <c:manualLayout>
                  <c:x val="4.7225934596013333E-2"/>
                  <c:y val="-2.066459285181944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95B-4D7C-8B2E-27A652826F33}"/>
                </c:ext>
              </c:extLst>
            </c:dLbl>
            <c:dLbl>
              <c:idx val="2"/>
              <c:layout>
                <c:manualLayout>
                  <c:x val="0.11144640703695821"/>
                  <c:y val="2.753183629824049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95B-4D7C-8B2E-27A652826F33}"/>
                </c:ext>
              </c:extLst>
            </c:dLbl>
            <c:dLbl>
              <c:idx val="3"/>
              <c:layout>
                <c:manualLayout>
                  <c:x val="6.1656522664396682E-2"/>
                  <c:y val="6.32536210751433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95B-4D7C-8B2E-27A652826F33}"/>
                </c:ext>
              </c:extLst>
            </c:dLbl>
            <c:numFmt formatCode="#,##0" sourceLinked="0"/>
            <c:spPr>
              <a:solidFill>
                <a:sysClr val="window" lastClr="FFFFFF"/>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data2!$G$7:$G$11</c:f>
              <c:strCache>
                <c:ptCount val="4"/>
                <c:pt idx="0">
                  <c:v>Summer</c:v>
                </c:pt>
                <c:pt idx="1">
                  <c:v>Autumn</c:v>
                </c:pt>
                <c:pt idx="2">
                  <c:v>Spring</c:v>
                </c:pt>
                <c:pt idx="3">
                  <c:v>Winter</c:v>
                </c:pt>
              </c:strCache>
            </c:strRef>
          </c:cat>
          <c:val>
            <c:numRef>
              <c:f>data2!$H$7:$H$11</c:f>
              <c:numCache>
                <c:formatCode>General</c:formatCode>
                <c:ptCount val="4"/>
                <c:pt idx="0">
                  <c:v>2283234</c:v>
                </c:pt>
                <c:pt idx="1">
                  <c:v>1790002</c:v>
                </c:pt>
                <c:pt idx="2">
                  <c:v>1611909</c:v>
                </c:pt>
                <c:pt idx="3">
                  <c:v>487169</c:v>
                </c:pt>
              </c:numCache>
            </c:numRef>
          </c:val>
          <c:extLst>
            <c:ext xmlns:c16="http://schemas.microsoft.com/office/drawing/2014/chart" uri="{C3380CC4-5D6E-409C-BE32-E72D297353CC}">
              <c16:uniqueId val="{00000015-B95B-4D7C-8B2E-27A652826F33}"/>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[coursework excel.xlsx]data2!PivotTable1</c:name>
    <c:fmtId val="2"/>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t>Daily Rentals Dec 2017-Nov 2018</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15875" cap="rnd">
            <a:solidFill>
              <a:schemeClr val="accent1"/>
            </a:solidFill>
            <a:round/>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data2!$D$4</c:f>
              <c:strCache>
                <c:ptCount val="1"/>
                <c:pt idx="0">
                  <c:v>Total</c:v>
                </c:pt>
              </c:strCache>
            </c:strRef>
          </c:tx>
          <c:spPr>
            <a:ln w="15875" cap="rnd">
              <a:solidFill>
                <a:schemeClr val="accent1"/>
              </a:solidFill>
              <a:round/>
            </a:ln>
            <a:effectLst/>
          </c:spPr>
          <c:marker>
            <c:symbol val="none"/>
          </c:marker>
          <c:dPt>
            <c:idx val="364"/>
            <c:marker>
              <c:symbol val="none"/>
            </c:marker>
            <c:bubble3D val="0"/>
            <c:spPr>
              <a:ln w="15875" cap="rnd">
                <a:solidFill>
                  <a:schemeClr val="accent1"/>
                </a:solidFill>
                <a:round/>
              </a:ln>
              <a:effectLst/>
            </c:spPr>
            <c:extLst>
              <c:ext xmlns:c16="http://schemas.microsoft.com/office/drawing/2014/chart" uri="{C3380CC4-5D6E-409C-BE32-E72D297353CC}">
                <c16:uniqueId val="{00000004-DB58-4866-8A1B-2B27295EAC0C}"/>
              </c:ext>
            </c:extLst>
          </c:dPt>
          <c:trendline>
            <c:spPr>
              <a:ln w="50800" cap="rnd">
                <a:solidFill>
                  <a:schemeClr val="accent2"/>
                </a:solidFill>
                <a:prstDash val="sysDot"/>
              </a:ln>
              <a:effectLst/>
            </c:spPr>
            <c:trendlineType val="movingAvg"/>
            <c:period val="28"/>
            <c:dispRSqr val="0"/>
            <c:dispEq val="0"/>
          </c:trendline>
          <c:cat>
            <c:strRef>
              <c:f>data2!$C$5:$C$370</c:f>
              <c:strCache>
                <c:ptCount val="365"/>
                <c:pt idx="0">
                  <c:v>01/12/2017</c:v>
                </c:pt>
                <c:pt idx="1">
                  <c:v>02/12/2017</c:v>
                </c:pt>
                <c:pt idx="2">
                  <c:v>03/12/2017</c:v>
                </c:pt>
                <c:pt idx="3">
                  <c:v>04/12/2017</c:v>
                </c:pt>
                <c:pt idx="4">
                  <c:v>05/12/2017</c:v>
                </c:pt>
                <c:pt idx="5">
                  <c:v>06/12/2017</c:v>
                </c:pt>
                <c:pt idx="6">
                  <c:v>07/12/2017</c:v>
                </c:pt>
                <c:pt idx="7">
                  <c:v>08/12/2017</c:v>
                </c:pt>
                <c:pt idx="8">
                  <c:v>09/12/2017</c:v>
                </c:pt>
                <c:pt idx="9">
                  <c:v>10/12/2017</c:v>
                </c:pt>
                <c:pt idx="10">
                  <c:v>11/12/2017</c:v>
                </c:pt>
                <c:pt idx="11">
                  <c:v>12/12/2017</c:v>
                </c:pt>
                <c:pt idx="12">
                  <c:v>13/12/2017</c:v>
                </c:pt>
                <c:pt idx="13">
                  <c:v>14/12/2017</c:v>
                </c:pt>
                <c:pt idx="14">
                  <c:v>15/12/2017</c:v>
                </c:pt>
                <c:pt idx="15">
                  <c:v>16/12/2017</c:v>
                </c:pt>
                <c:pt idx="16">
                  <c:v>17/12/2017</c:v>
                </c:pt>
                <c:pt idx="17">
                  <c:v>18/12/2017</c:v>
                </c:pt>
                <c:pt idx="18">
                  <c:v>19/12/2017</c:v>
                </c:pt>
                <c:pt idx="19">
                  <c:v>20/12/2017</c:v>
                </c:pt>
                <c:pt idx="20">
                  <c:v>21/12/2017</c:v>
                </c:pt>
                <c:pt idx="21">
                  <c:v>22/12/2017</c:v>
                </c:pt>
                <c:pt idx="22">
                  <c:v>23/12/2017</c:v>
                </c:pt>
                <c:pt idx="23">
                  <c:v>24/12/2017</c:v>
                </c:pt>
                <c:pt idx="24">
                  <c:v>25/12/2017</c:v>
                </c:pt>
                <c:pt idx="25">
                  <c:v>26/12/2017</c:v>
                </c:pt>
                <c:pt idx="26">
                  <c:v>27/12/2017</c:v>
                </c:pt>
                <c:pt idx="27">
                  <c:v>28/12/2017</c:v>
                </c:pt>
                <c:pt idx="28">
                  <c:v>29/12/2017</c:v>
                </c:pt>
                <c:pt idx="29">
                  <c:v>30/12/2017</c:v>
                </c:pt>
                <c:pt idx="30">
                  <c:v>31/12/2017</c:v>
                </c:pt>
                <c:pt idx="31">
                  <c:v>01/01/2018</c:v>
                </c:pt>
                <c:pt idx="32">
                  <c:v>02/01/2018</c:v>
                </c:pt>
                <c:pt idx="33">
                  <c:v>03/01/2018</c:v>
                </c:pt>
                <c:pt idx="34">
                  <c:v>04/01/2018</c:v>
                </c:pt>
                <c:pt idx="35">
                  <c:v>05/01/2018</c:v>
                </c:pt>
                <c:pt idx="36">
                  <c:v>06/01/2018</c:v>
                </c:pt>
                <c:pt idx="37">
                  <c:v>07/01/2018</c:v>
                </c:pt>
                <c:pt idx="38">
                  <c:v>08/01/2018</c:v>
                </c:pt>
                <c:pt idx="39">
                  <c:v>09/01/2018</c:v>
                </c:pt>
                <c:pt idx="40">
                  <c:v>10/01/2018</c:v>
                </c:pt>
                <c:pt idx="41">
                  <c:v>11/01/2018</c:v>
                </c:pt>
                <c:pt idx="42">
                  <c:v>12/01/2018</c:v>
                </c:pt>
                <c:pt idx="43">
                  <c:v>13/01/2018</c:v>
                </c:pt>
                <c:pt idx="44">
                  <c:v>14/01/2018</c:v>
                </c:pt>
                <c:pt idx="45">
                  <c:v>15/01/2018</c:v>
                </c:pt>
                <c:pt idx="46">
                  <c:v>16/01/2018</c:v>
                </c:pt>
                <c:pt idx="47">
                  <c:v>17/01/2018</c:v>
                </c:pt>
                <c:pt idx="48">
                  <c:v>18/01/2018</c:v>
                </c:pt>
                <c:pt idx="49">
                  <c:v>19/01/2018</c:v>
                </c:pt>
                <c:pt idx="50">
                  <c:v>20/01/2018</c:v>
                </c:pt>
                <c:pt idx="51">
                  <c:v>21/01/2018</c:v>
                </c:pt>
                <c:pt idx="52">
                  <c:v>22/01/2018</c:v>
                </c:pt>
                <c:pt idx="53">
                  <c:v>23/01/2018</c:v>
                </c:pt>
                <c:pt idx="54">
                  <c:v>24/01/2018</c:v>
                </c:pt>
                <c:pt idx="55">
                  <c:v>25/01/2018</c:v>
                </c:pt>
                <c:pt idx="56">
                  <c:v>26/01/2018</c:v>
                </c:pt>
                <c:pt idx="57">
                  <c:v>27/01/2018</c:v>
                </c:pt>
                <c:pt idx="58">
                  <c:v>28/01/2018</c:v>
                </c:pt>
                <c:pt idx="59">
                  <c:v>29/01/2018</c:v>
                </c:pt>
                <c:pt idx="60">
                  <c:v>30/01/2018</c:v>
                </c:pt>
                <c:pt idx="61">
                  <c:v>31/01/2018</c:v>
                </c:pt>
                <c:pt idx="62">
                  <c:v>01/02/2018</c:v>
                </c:pt>
                <c:pt idx="63">
                  <c:v>02/02/2018</c:v>
                </c:pt>
                <c:pt idx="64">
                  <c:v>03/02/2018</c:v>
                </c:pt>
                <c:pt idx="65">
                  <c:v>04/02/2018</c:v>
                </c:pt>
                <c:pt idx="66">
                  <c:v>05/02/2018</c:v>
                </c:pt>
                <c:pt idx="67">
                  <c:v>06/02/2018</c:v>
                </c:pt>
                <c:pt idx="68">
                  <c:v>07/02/2018</c:v>
                </c:pt>
                <c:pt idx="69">
                  <c:v>08/02/2018</c:v>
                </c:pt>
                <c:pt idx="70">
                  <c:v>09/02/2018</c:v>
                </c:pt>
                <c:pt idx="71">
                  <c:v>10/02/2018</c:v>
                </c:pt>
                <c:pt idx="72">
                  <c:v>11/02/2018</c:v>
                </c:pt>
                <c:pt idx="73">
                  <c:v>12/02/2018</c:v>
                </c:pt>
                <c:pt idx="74">
                  <c:v>13/02/2018</c:v>
                </c:pt>
                <c:pt idx="75">
                  <c:v>14/02/2018</c:v>
                </c:pt>
                <c:pt idx="76">
                  <c:v>15/02/2018</c:v>
                </c:pt>
                <c:pt idx="77">
                  <c:v>16/02/2018</c:v>
                </c:pt>
                <c:pt idx="78">
                  <c:v>17/02/2018</c:v>
                </c:pt>
                <c:pt idx="79">
                  <c:v>18/02/2018</c:v>
                </c:pt>
                <c:pt idx="80">
                  <c:v>19/02/2018</c:v>
                </c:pt>
                <c:pt idx="81">
                  <c:v>20/02/2018</c:v>
                </c:pt>
                <c:pt idx="82">
                  <c:v>21/02/2018</c:v>
                </c:pt>
                <c:pt idx="83">
                  <c:v>22/02/2018</c:v>
                </c:pt>
                <c:pt idx="84">
                  <c:v>23/02/2018</c:v>
                </c:pt>
                <c:pt idx="85">
                  <c:v>24/02/2018</c:v>
                </c:pt>
                <c:pt idx="86">
                  <c:v>25/02/2018</c:v>
                </c:pt>
                <c:pt idx="87">
                  <c:v>26/02/2018</c:v>
                </c:pt>
                <c:pt idx="88">
                  <c:v>27/02/2018</c:v>
                </c:pt>
                <c:pt idx="89">
                  <c:v>28/02/2018</c:v>
                </c:pt>
                <c:pt idx="90">
                  <c:v>01/03/2018</c:v>
                </c:pt>
                <c:pt idx="91">
                  <c:v>02/03/2018</c:v>
                </c:pt>
                <c:pt idx="92">
                  <c:v>03/03/2018</c:v>
                </c:pt>
                <c:pt idx="93">
                  <c:v>04/03/2018</c:v>
                </c:pt>
                <c:pt idx="94">
                  <c:v>05/03/2018</c:v>
                </c:pt>
                <c:pt idx="95">
                  <c:v>06/03/2018</c:v>
                </c:pt>
                <c:pt idx="96">
                  <c:v>07/03/2018</c:v>
                </c:pt>
                <c:pt idx="97">
                  <c:v>08/03/2018</c:v>
                </c:pt>
                <c:pt idx="98">
                  <c:v>09/03/2018</c:v>
                </c:pt>
                <c:pt idx="99">
                  <c:v>10/03/2018</c:v>
                </c:pt>
                <c:pt idx="100">
                  <c:v>11/03/2018</c:v>
                </c:pt>
                <c:pt idx="101">
                  <c:v>12/03/2018</c:v>
                </c:pt>
                <c:pt idx="102">
                  <c:v>13/03/2018</c:v>
                </c:pt>
                <c:pt idx="103">
                  <c:v>14/03/2018</c:v>
                </c:pt>
                <c:pt idx="104">
                  <c:v>15/03/2018</c:v>
                </c:pt>
                <c:pt idx="105">
                  <c:v>16/03/2018</c:v>
                </c:pt>
                <c:pt idx="106">
                  <c:v>17/03/2018</c:v>
                </c:pt>
                <c:pt idx="107">
                  <c:v>18/03/2018</c:v>
                </c:pt>
                <c:pt idx="108">
                  <c:v>19/03/2018</c:v>
                </c:pt>
                <c:pt idx="109">
                  <c:v>20/03/2018</c:v>
                </c:pt>
                <c:pt idx="110">
                  <c:v>21/03/2018</c:v>
                </c:pt>
                <c:pt idx="111">
                  <c:v>22/03/2018</c:v>
                </c:pt>
                <c:pt idx="112">
                  <c:v>23/03/2018</c:v>
                </c:pt>
                <c:pt idx="113">
                  <c:v>24/03/2018</c:v>
                </c:pt>
                <c:pt idx="114">
                  <c:v>25/03/2018</c:v>
                </c:pt>
                <c:pt idx="115">
                  <c:v>26/03/2018</c:v>
                </c:pt>
                <c:pt idx="116">
                  <c:v>27/03/2018</c:v>
                </c:pt>
                <c:pt idx="117">
                  <c:v>28/03/2018</c:v>
                </c:pt>
                <c:pt idx="118">
                  <c:v>29/03/2018</c:v>
                </c:pt>
                <c:pt idx="119">
                  <c:v>30/03/2018</c:v>
                </c:pt>
                <c:pt idx="120">
                  <c:v>31/03/2018</c:v>
                </c:pt>
                <c:pt idx="121">
                  <c:v>01/04/2018</c:v>
                </c:pt>
                <c:pt idx="122">
                  <c:v>02/04/2018</c:v>
                </c:pt>
                <c:pt idx="123">
                  <c:v>03/04/2018</c:v>
                </c:pt>
                <c:pt idx="124">
                  <c:v>04/04/2018</c:v>
                </c:pt>
                <c:pt idx="125">
                  <c:v>05/04/2018</c:v>
                </c:pt>
                <c:pt idx="126">
                  <c:v>06/04/2018</c:v>
                </c:pt>
                <c:pt idx="127">
                  <c:v>07/04/2018</c:v>
                </c:pt>
                <c:pt idx="128">
                  <c:v>08/04/2018</c:v>
                </c:pt>
                <c:pt idx="129">
                  <c:v>09/04/2018</c:v>
                </c:pt>
                <c:pt idx="130">
                  <c:v>10/04/2018</c:v>
                </c:pt>
                <c:pt idx="131">
                  <c:v>11/04/2018</c:v>
                </c:pt>
                <c:pt idx="132">
                  <c:v>12/04/2018</c:v>
                </c:pt>
                <c:pt idx="133">
                  <c:v>13/04/2018</c:v>
                </c:pt>
                <c:pt idx="134">
                  <c:v>14/04/2018</c:v>
                </c:pt>
                <c:pt idx="135">
                  <c:v>15/04/2018</c:v>
                </c:pt>
                <c:pt idx="136">
                  <c:v>16/04/2018</c:v>
                </c:pt>
                <c:pt idx="137">
                  <c:v>17/04/2018</c:v>
                </c:pt>
                <c:pt idx="138">
                  <c:v>18/04/2018</c:v>
                </c:pt>
                <c:pt idx="139">
                  <c:v>19/04/2018</c:v>
                </c:pt>
                <c:pt idx="140">
                  <c:v>20/04/2018</c:v>
                </c:pt>
                <c:pt idx="141">
                  <c:v>21/04/2018</c:v>
                </c:pt>
                <c:pt idx="142">
                  <c:v>22/04/2018</c:v>
                </c:pt>
                <c:pt idx="143">
                  <c:v>23/04/2018</c:v>
                </c:pt>
                <c:pt idx="144">
                  <c:v>24/04/2018</c:v>
                </c:pt>
                <c:pt idx="145">
                  <c:v>25/04/2018</c:v>
                </c:pt>
                <c:pt idx="146">
                  <c:v>26/04/2018</c:v>
                </c:pt>
                <c:pt idx="147">
                  <c:v>27/04/2018</c:v>
                </c:pt>
                <c:pt idx="148">
                  <c:v>28/04/2018</c:v>
                </c:pt>
                <c:pt idx="149">
                  <c:v>29/04/2018</c:v>
                </c:pt>
                <c:pt idx="150">
                  <c:v>30/04/2018</c:v>
                </c:pt>
                <c:pt idx="151">
                  <c:v>01/05/2018</c:v>
                </c:pt>
                <c:pt idx="152">
                  <c:v>02/05/2018</c:v>
                </c:pt>
                <c:pt idx="153">
                  <c:v>03/05/2018</c:v>
                </c:pt>
                <c:pt idx="154">
                  <c:v>04/05/2018</c:v>
                </c:pt>
                <c:pt idx="155">
                  <c:v>05/05/2018</c:v>
                </c:pt>
                <c:pt idx="156">
                  <c:v>06/05/2018</c:v>
                </c:pt>
                <c:pt idx="157">
                  <c:v>07/05/2018</c:v>
                </c:pt>
                <c:pt idx="158">
                  <c:v>08/05/2018</c:v>
                </c:pt>
                <c:pt idx="159">
                  <c:v>09/05/2018</c:v>
                </c:pt>
                <c:pt idx="160">
                  <c:v>10/05/2018</c:v>
                </c:pt>
                <c:pt idx="161">
                  <c:v>11/05/2018</c:v>
                </c:pt>
                <c:pt idx="162">
                  <c:v>12/05/2018</c:v>
                </c:pt>
                <c:pt idx="163">
                  <c:v>13/05/2018</c:v>
                </c:pt>
                <c:pt idx="164">
                  <c:v>14/05/2018</c:v>
                </c:pt>
                <c:pt idx="165">
                  <c:v>15/05/2018</c:v>
                </c:pt>
                <c:pt idx="166">
                  <c:v>16/05/2018</c:v>
                </c:pt>
                <c:pt idx="167">
                  <c:v>17/05/2018</c:v>
                </c:pt>
                <c:pt idx="168">
                  <c:v>18/05/2018</c:v>
                </c:pt>
                <c:pt idx="169">
                  <c:v>19/05/2018</c:v>
                </c:pt>
                <c:pt idx="170">
                  <c:v>20/05/2018</c:v>
                </c:pt>
                <c:pt idx="171">
                  <c:v>21/05/2018</c:v>
                </c:pt>
                <c:pt idx="172">
                  <c:v>22/05/2018</c:v>
                </c:pt>
                <c:pt idx="173">
                  <c:v>23/05/2018</c:v>
                </c:pt>
                <c:pt idx="174">
                  <c:v>24/05/2018</c:v>
                </c:pt>
                <c:pt idx="175">
                  <c:v>25/05/2018</c:v>
                </c:pt>
                <c:pt idx="176">
                  <c:v>26/05/2018</c:v>
                </c:pt>
                <c:pt idx="177">
                  <c:v>27/05/2018</c:v>
                </c:pt>
                <c:pt idx="178">
                  <c:v>28/05/2018</c:v>
                </c:pt>
                <c:pt idx="179">
                  <c:v>29/05/2018</c:v>
                </c:pt>
                <c:pt idx="180">
                  <c:v>30/05/2018</c:v>
                </c:pt>
                <c:pt idx="181">
                  <c:v>31/05/2018</c:v>
                </c:pt>
                <c:pt idx="182">
                  <c:v>01/06/2018</c:v>
                </c:pt>
                <c:pt idx="183">
                  <c:v>02/06/2018</c:v>
                </c:pt>
                <c:pt idx="184">
                  <c:v>03/06/2018</c:v>
                </c:pt>
                <c:pt idx="185">
                  <c:v>04/06/2018</c:v>
                </c:pt>
                <c:pt idx="186">
                  <c:v>05/06/2018</c:v>
                </c:pt>
                <c:pt idx="187">
                  <c:v>06/06/2018</c:v>
                </c:pt>
                <c:pt idx="188">
                  <c:v>07/06/2018</c:v>
                </c:pt>
                <c:pt idx="189">
                  <c:v>08/06/2018</c:v>
                </c:pt>
                <c:pt idx="190">
                  <c:v>09/06/2018</c:v>
                </c:pt>
                <c:pt idx="191">
                  <c:v>10/06/2018</c:v>
                </c:pt>
                <c:pt idx="192">
                  <c:v>11/06/2018</c:v>
                </c:pt>
                <c:pt idx="193">
                  <c:v>12/06/2018</c:v>
                </c:pt>
                <c:pt idx="194">
                  <c:v>13/06/2018</c:v>
                </c:pt>
                <c:pt idx="195">
                  <c:v>14/06/2018</c:v>
                </c:pt>
                <c:pt idx="196">
                  <c:v>15/06/2018</c:v>
                </c:pt>
                <c:pt idx="197">
                  <c:v>16/06/2018</c:v>
                </c:pt>
                <c:pt idx="198">
                  <c:v>17/06/2018</c:v>
                </c:pt>
                <c:pt idx="199">
                  <c:v>18/06/2018</c:v>
                </c:pt>
                <c:pt idx="200">
                  <c:v>19/06/2018</c:v>
                </c:pt>
                <c:pt idx="201">
                  <c:v>20/06/2018</c:v>
                </c:pt>
                <c:pt idx="202">
                  <c:v>21/06/2018</c:v>
                </c:pt>
                <c:pt idx="203">
                  <c:v>22/06/2018</c:v>
                </c:pt>
                <c:pt idx="204">
                  <c:v>23/06/2018</c:v>
                </c:pt>
                <c:pt idx="205">
                  <c:v>24/06/2018</c:v>
                </c:pt>
                <c:pt idx="206">
                  <c:v>25/06/2018</c:v>
                </c:pt>
                <c:pt idx="207">
                  <c:v>26/06/2018</c:v>
                </c:pt>
                <c:pt idx="208">
                  <c:v>27/06/2018</c:v>
                </c:pt>
                <c:pt idx="209">
                  <c:v>28/06/2018</c:v>
                </c:pt>
                <c:pt idx="210">
                  <c:v>29/06/2018</c:v>
                </c:pt>
                <c:pt idx="211">
                  <c:v>30/06/2018</c:v>
                </c:pt>
                <c:pt idx="212">
                  <c:v>01/07/2018</c:v>
                </c:pt>
                <c:pt idx="213">
                  <c:v>02/07/2018</c:v>
                </c:pt>
                <c:pt idx="214">
                  <c:v>03/07/2018</c:v>
                </c:pt>
                <c:pt idx="215">
                  <c:v>04/07/2018</c:v>
                </c:pt>
                <c:pt idx="216">
                  <c:v>05/07/2018</c:v>
                </c:pt>
                <c:pt idx="217">
                  <c:v>06/07/2018</c:v>
                </c:pt>
                <c:pt idx="218">
                  <c:v>07/07/2018</c:v>
                </c:pt>
                <c:pt idx="219">
                  <c:v>08/07/2018</c:v>
                </c:pt>
                <c:pt idx="220">
                  <c:v>09/07/2018</c:v>
                </c:pt>
                <c:pt idx="221">
                  <c:v>10/07/2018</c:v>
                </c:pt>
                <c:pt idx="222">
                  <c:v>11/07/2018</c:v>
                </c:pt>
                <c:pt idx="223">
                  <c:v>12/07/2018</c:v>
                </c:pt>
                <c:pt idx="224">
                  <c:v>13/07/2018</c:v>
                </c:pt>
                <c:pt idx="225">
                  <c:v>14/07/2018</c:v>
                </c:pt>
                <c:pt idx="226">
                  <c:v>15/07/2018</c:v>
                </c:pt>
                <c:pt idx="227">
                  <c:v>16/07/2018</c:v>
                </c:pt>
                <c:pt idx="228">
                  <c:v>17/07/2018</c:v>
                </c:pt>
                <c:pt idx="229">
                  <c:v>18/07/2018</c:v>
                </c:pt>
                <c:pt idx="230">
                  <c:v>19/07/2018</c:v>
                </c:pt>
                <c:pt idx="231">
                  <c:v>20/07/2018</c:v>
                </c:pt>
                <c:pt idx="232">
                  <c:v>21/07/2018</c:v>
                </c:pt>
                <c:pt idx="233">
                  <c:v>22/07/2018</c:v>
                </c:pt>
                <c:pt idx="234">
                  <c:v>23/07/2018</c:v>
                </c:pt>
                <c:pt idx="235">
                  <c:v>24/07/2018</c:v>
                </c:pt>
                <c:pt idx="236">
                  <c:v>25/07/2018</c:v>
                </c:pt>
                <c:pt idx="237">
                  <c:v>26/07/2018</c:v>
                </c:pt>
                <c:pt idx="238">
                  <c:v>27/07/2018</c:v>
                </c:pt>
                <c:pt idx="239">
                  <c:v>28/07/2018</c:v>
                </c:pt>
                <c:pt idx="240">
                  <c:v>29/07/2018</c:v>
                </c:pt>
                <c:pt idx="241">
                  <c:v>30/07/2018</c:v>
                </c:pt>
                <c:pt idx="242">
                  <c:v>31/07/2018</c:v>
                </c:pt>
                <c:pt idx="243">
                  <c:v>01/08/2018</c:v>
                </c:pt>
                <c:pt idx="244">
                  <c:v>02/08/2018</c:v>
                </c:pt>
                <c:pt idx="245">
                  <c:v>03/08/2018</c:v>
                </c:pt>
                <c:pt idx="246">
                  <c:v>04/08/2018</c:v>
                </c:pt>
                <c:pt idx="247">
                  <c:v>05/08/2018</c:v>
                </c:pt>
                <c:pt idx="248">
                  <c:v>06/08/2018</c:v>
                </c:pt>
                <c:pt idx="249">
                  <c:v>07/08/2018</c:v>
                </c:pt>
                <c:pt idx="250">
                  <c:v>08/08/2018</c:v>
                </c:pt>
                <c:pt idx="251">
                  <c:v>09/08/2018</c:v>
                </c:pt>
                <c:pt idx="252">
                  <c:v>10/08/2018</c:v>
                </c:pt>
                <c:pt idx="253">
                  <c:v>11/08/2018</c:v>
                </c:pt>
                <c:pt idx="254">
                  <c:v>12/08/2018</c:v>
                </c:pt>
                <c:pt idx="255">
                  <c:v>13/08/2018</c:v>
                </c:pt>
                <c:pt idx="256">
                  <c:v>14/08/2018</c:v>
                </c:pt>
                <c:pt idx="257">
                  <c:v>15/08/2018</c:v>
                </c:pt>
                <c:pt idx="258">
                  <c:v>16/08/2018</c:v>
                </c:pt>
                <c:pt idx="259">
                  <c:v>17/08/2018</c:v>
                </c:pt>
                <c:pt idx="260">
                  <c:v>18/08/2018</c:v>
                </c:pt>
                <c:pt idx="261">
                  <c:v>19/08/2018</c:v>
                </c:pt>
                <c:pt idx="262">
                  <c:v>20/08/2018</c:v>
                </c:pt>
                <c:pt idx="263">
                  <c:v>21/08/2018</c:v>
                </c:pt>
                <c:pt idx="264">
                  <c:v>22/08/2018</c:v>
                </c:pt>
                <c:pt idx="265">
                  <c:v>23/08/2018</c:v>
                </c:pt>
                <c:pt idx="266">
                  <c:v>24/08/2018</c:v>
                </c:pt>
                <c:pt idx="267">
                  <c:v>25/08/2018</c:v>
                </c:pt>
                <c:pt idx="268">
                  <c:v>26/08/2018</c:v>
                </c:pt>
                <c:pt idx="269">
                  <c:v>27/08/2018</c:v>
                </c:pt>
                <c:pt idx="270">
                  <c:v>28/08/2018</c:v>
                </c:pt>
                <c:pt idx="271">
                  <c:v>29/08/2018</c:v>
                </c:pt>
                <c:pt idx="272">
                  <c:v>30/08/2018</c:v>
                </c:pt>
                <c:pt idx="273">
                  <c:v>31/08/2018</c:v>
                </c:pt>
                <c:pt idx="274">
                  <c:v>01/09/2018</c:v>
                </c:pt>
                <c:pt idx="275">
                  <c:v>02/09/2018</c:v>
                </c:pt>
                <c:pt idx="276">
                  <c:v>03/09/2018</c:v>
                </c:pt>
                <c:pt idx="277">
                  <c:v>04/09/2018</c:v>
                </c:pt>
                <c:pt idx="278">
                  <c:v>05/09/2018</c:v>
                </c:pt>
                <c:pt idx="279">
                  <c:v>06/09/2018</c:v>
                </c:pt>
                <c:pt idx="280">
                  <c:v>07/09/2018</c:v>
                </c:pt>
                <c:pt idx="281">
                  <c:v>08/09/2018</c:v>
                </c:pt>
                <c:pt idx="282">
                  <c:v>09/09/2018</c:v>
                </c:pt>
                <c:pt idx="283">
                  <c:v>10/09/2018</c:v>
                </c:pt>
                <c:pt idx="284">
                  <c:v>11/09/2018</c:v>
                </c:pt>
                <c:pt idx="285">
                  <c:v>12/09/2018</c:v>
                </c:pt>
                <c:pt idx="286">
                  <c:v>13/09/2018</c:v>
                </c:pt>
                <c:pt idx="287">
                  <c:v>14/09/2018</c:v>
                </c:pt>
                <c:pt idx="288">
                  <c:v>15/09/2018</c:v>
                </c:pt>
                <c:pt idx="289">
                  <c:v>16/09/2018</c:v>
                </c:pt>
                <c:pt idx="290">
                  <c:v>17/09/2018</c:v>
                </c:pt>
                <c:pt idx="291">
                  <c:v>18/09/2018</c:v>
                </c:pt>
                <c:pt idx="292">
                  <c:v>19/09/2018</c:v>
                </c:pt>
                <c:pt idx="293">
                  <c:v>20/09/2018</c:v>
                </c:pt>
                <c:pt idx="294">
                  <c:v>21/09/2018</c:v>
                </c:pt>
                <c:pt idx="295">
                  <c:v>22/09/2018</c:v>
                </c:pt>
                <c:pt idx="296">
                  <c:v>23/09/2018</c:v>
                </c:pt>
                <c:pt idx="297">
                  <c:v>24/09/2018</c:v>
                </c:pt>
                <c:pt idx="298">
                  <c:v>25/09/2018</c:v>
                </c:pt>
                <c:pt idx="299">
                  <c:v>26/09/2018</c:v>
                </c:pt>
                <c:pt idx="300">
                  <c:v>27/09/2018</c:v>
                </c:pt>
                <c:pt idx="301">
                  <c:v>28/09/2018</c:v>
                </c:pt>
                <c:pt idx="302">
                  <c:v>29/09/2018</c:v>
                </c:pt>
                <c:pt idx="303">
                  <c:v>30/09/2018</c:v>
                </c:pt>
                <c:pt idx="304">
                  <c:v>01/10/2018</c:v>
                </c:pt>
                <c:pt idx="305">
                  <c:v>02/10/2018</c:v>
                </c:pt>
                <c:pt idx="306">
                  <c:v>03/10/2018</c:v>
                </c:pt>
                <c:pt idx="307">
                  <c:v>04/10/2018</c:v>
                </c:pt>
                <c:pt idx="308">
                  <c:v>05/10/2018</c:v>
                </c:pt>
                <c:pt idx="309">
                  <c:v>06/10/2018</c:v>
                </c:pt>
                <c:pt idx="310">
                  <c:v>07/10/2018</c:v>
                </c:pt>
                <c:pt idx="311">
                  <c:v>08/10/2018</c:v>
                </c:pt>
                <c:pt idx="312">
                  <c:v>09/10/2018</c:v>
                </c:pt>
                <c:pt idx="313">
                  <c:v>10/10/2018</c:v>
                </c:pt>
                <c:pt idx="314">
                  <c:v>11/10/2018</c:v>
                </c:pt>
                <c:pt idx="315">
                  <c:v>12/10/2018</c:v>
                </c:pt>
                <c:pt idx="316">
                  <c:v>13/10/2018</c:v>
                </c:pt>
                <c:pt idx="317">
                  <c:v>14/10/2018</c:v>
                </c:pt>
                <c:pt idx="318">
                  <c:v>15/10/2018</c:v>
                </c:pt>
                <c:pt idx="319">
                  <c:v>16/10/2018</c:v>
                </c:pt>
                <c:pt idx="320">
                  <c:v>17/10/2018</c:v>
                </c:pt>
                <c:pt idx="321">
                  <c:v>18/10/2018</c:v>
                </c:pt>
                <c:pt idx="322">
                  <c:v>19/10/2018</c:v>
                </c:pt>
                <c:pt idx="323">
                  <c:v>20/10/2018</c:v>
                </c:pt>
                <c:pt idx="324">
                  <c:v>21/10/2018</c:v>
                </c:pt>
                <c:pt idx="325">
                  <c:v>22/10/2018</c:v>
                </c:pt>
                <c:pt idx="326">
                  <c:v>23/10/2018</c:v>
                </c:pt>
                <c:pt idx="327">
                  <c:v>24/10/2018</c:v>
                </c:pt>
                <c:pt idx="328">
                  <c:v>25/10/2018</c:v>
                </c:pt>
                <c:pt idx="329">
                  <c:v>26/10/2018</c:v>
                </c:pt>
                <c:pt idx="330">
                  <c:v>27/10/2018</c:v>
                </c:pt>
                <c:pt idx="331">
                  <c:v>28/10/2018</c:v>
                </c:pt>
                <c:pt idx="332">
                  <c:v>29/10/2018</c:v>
                </c:pt>
                <c:pt idx="333">
                  <c:v>30/10/2018</c:v>
                </c:pt>
                <c:pt idx="334">
                  <c:v>31/10/2018</c:v>
                </c:pt>
                <c:pt idx="335">
                  <c:v>01/11/2018</c:v>
                </c:pt>
                <c:pt idx="336">
                  <c:v>02/11/2018</c:v>
                </c:pt>
                <c:pt idx="337">
                  <c:v>03/11/2018</c:v>
                </c:pt>
                <c:pt idx="338">
                  <c:v>04/11/2018</c:v>
                </c:pt>
                <c:pt idx="339">
                  <c:v>05/11/2018</c:v>
                </c:pt>
                <c:pt idx="340">
                  <c:v>06/11/2018</c:v>
                </c:pt>
                <c:pt idx="341">
                  <c:v>07/11/2018</c:v>
                </c:pt>
                <c:pt idx="342">
                  <c:v>08/11/2018</c:v>
                </c:pt>
                <c:pt idx="343">
                  <c:v>09/11/2018</c:v>
                </c:pt>
                <c:pt idx="344">
                  <c:v>10/11/2018</c:v>
                </c:pt>
                <c:pt idx="345">
                  <c:v>11/11/2018</c:v>
                </c:pt>
                <c:pt idx="346">
                  <c:v>12/11/2018</c:v>
                </c:pt>
                <c:pt idx="347">
                  <c:v>13/11/2018</c:v>
                </c:pt>
                <c:pt idx="348">
                  <c:v>14/11/2018</c:v>
                </c:pt>
                <c:pt idx="349">
                  <c:v>15/11/2018</c:v>
                </c:pt>
                <c:pt idx="350">
                  <c:v>16/11/2018</c:v>
                </c:pt>
                <c:pt idx="351">
                  <c:v>17/11/2018</c:v>
                </c:pt>
                <c:pt idx="352">
                  <c:v>18/11/2018</c:v>
                </c:pt>
                <c:pt idx="353">
                  <c:v>19/11/2018</c:v>
                </c:pt>
                <c:pt idx="354">
                  <c:v>20/11/2018</c:v>
                </c:pt>
                <c:pt idx="355">
                  <c:v>21/11/2018</c:v>
                </c:pt>
                <c:pt idx="356">
                  <c:v>22/11/2018</c:v>
                </c:pt>
                <c:pt idx="357">
                  <c:v>23/11/2018</c:v>
                </c:pt>
                <c:pt idx="358">
                  <c:v>24/11/2018</c:v>
                </c:pt>
                <c:pt idx="359">
                  <c:v>25/11/2018</c:v>
                </c:pt>
                <c:pt idx="360">
                  <c:v>26/11/2018</c:v>
                </c:pt>
                <c:pt idx="361">
                  <c:v>27/11/2018</c:v>
                </c:pt>
                <c:pt idx="362">
                  <c:v>28/11/2018</c:v>
                </c:pt>
                <c:pt idx="363">
                  <c:v>29/11/2018</c:v>
                </c:pt>
                <c:pt idx="364">
                  <c:v>30/11/2018</c:v>
                </c:pt>
              </c:strCache>
            </c:strRef>
          </c:cat>
          <c:val>
            <c:numRef>
              <c:f>data2!$D$5:$D$370</c:f>
              <c:numCache>
                <c:formatCode>General</c:formatCode>
                <c:ptCount val="365"/>
                <c:pt idx="0">
                  <c:v>9539</c:v>
                </c:pt>
                <c:pt idx="1">
                  <c:v>8523</c:v>
                </c:pt>
                <c:pt idx="2">
                  <c:v>7222</c:v>
                </c:pt>
                <c:pt idx="3">
                  <c:v>8729</c:v>
                </c:pt>
                <c:pt idx="4">
                  <c:v>8307</c:v>
                </c:pt>
                <c:pt idx="5">
                  <c:v>6669</c:v>
                </c:pt>
                <c:pt idx="6">
                  <c:v>8549</c:v>
                </c:pt>
                <c:pt idx="7">
                  <c:v>8032</c:v>
                </c:pt>
                <c:pt idx="8">
                  <c:v>7233</c:v>
                </c:pt>
                <c:pt idx="9">
                  <c:v>3453</c:v>
                </c:pt>
                <c:pt idx="10">
                  <c:v>5848</c:v>
                </c:pt>
                <c:pt idx="11">
                  <c:v>5496</c:v>
                </c:pt>
                <c:pt idx="12">
                  <c:v>6019</c:v>
                </c:pt>
                <c:pt idx="13">
                  <c:v>6398</c:v>
                </c:pt>
                <c:pt idx="14">
                  <c:v>7198</c:v>
                </c:pt>
                <c:pt idx="15">
                  <c:v>4632</c:v>
                </c:pt>
                <c:pt idx="16">
                  <c:v>3776</c:v>
                </c:pt>
                <c:pt idx="17">
                  <c:v>2620</c:v>
                </c:pt>
                <c:pt idx="18">
                  <c:v>4334</c:v>
                </c:pt>
                <c:pt idx="19">
                  <c:v>4568</c:v>
                </c:pt>
                <c:pt idx="20">
                  <c:v>5734</c:v>
                </c:pt>
                <c:pt idx="21">
                  <c:v>7184</c:v>
                </c:pt>
                <c:pt idx="22">
                  <c:v>6624</c:v>
                </c:pt>
                <c:pt idx="23">
                  <c:v>2014</c:v>
                </c:pt>
                <c:pt idx="24">
                  <c:v>3966</c:v>
                </c:pt>
                <c:pt idx="25">
                  <c:v>5605</c:v>
                </c:pt>
                <c:pt idx="26">
                  <c:v>5351</c:v>
                </c:pt>
                <c:pt idx="27">
                  <c:v>6594</c:v>
                </c:pt>
                <c:pt idx="28">
                  <c:v>7663</c:v>
                </c:pt>
                <c:pt idx="29">
                  <c:v>4027</c:v>
                </c:pt>
                <c:pt idx="30">
                  <c:v>3423</c:v>
                </c:pt>
                <c:pt idx="31">
                  <c:v>4290</c:v>
                </c:pt>
                <c:pt idx="32">
                  <c:v>6446</c:v>
                </c:pt>
                <c:pt idx="33">
                  <c:v>6512</c:v>
                </c:pt>
                <c:pt idx="34">
                  <c:v>6453</c:v>
                </c:pt>
                <c:pt idx="35">
                  <c:v>6967</c:v>
                </c:pt>
                <c:pt idx="36">
                  <c:v>5180</c:v>
                </c:pt>
                <c:pt idx="37">
                  <c:v>4714</c:v>
                </c:pt>
                <c:pt idx="38">
                  <c:v>5711</c:v>
                </c:pt>
                <c:pt idx="39">
                  <c:v>5500</c:v>
                </c:pt>
                <c:pt idx="40">
                  <c:v>4161</c:v>
                </c:pt>
                <c:pt idx="41">
                  <c:v>4017</c:v>
                </c:pt>
                <c:pt idx="42">
                  <c:v>4111</c:v>
                </c:pt>
                <c:pt idx="43">
                  <c:v>3503</c:v>
                </c:pt>
                <c:pt idx="44">
                  <c:v>4225</c:v>
                </c:pt>
                <c:pt idx="45">
                  <c:v>6334</c:v>
                </c:pt>
                <c:pt idx="46">
                  <c:v>6705</c:v>
                </c:pt>
                <c:pt idx="47">
                  <c:v>6292</c:v>
                </c:pt>
                <c:pt idx="48">
                  <c:v>6383</c:v>
                </c:pt>
                <c:pt idx="49">
                  <c:v>7472</c:v>
                </c:pt>
                <c:pt idx="50">
                  <c:v>5576</c:v>
                </c:pt>
                <c:pt idx="51">
                  <c:v>4973</c:v>
                </c:pt>
                <c:pt idx="52">
                  <c:v>4503</c:v>
                </c:pt>
                <c:pt idx="53">
                  <c:v>3981</c:v>
                </c:pt>
                <c:pt idx="54">
                  <c:v>3154</c:v>
                </c:pt>
                <c:pt idx="55">
                  <c:v>3113</c:v>
                </c:pt>
                <c:pt idx="56">
                  <c:v>2931</c:v>
                </c:pt>
                <c:pt idx="57">
                  <c:v>2693</c:v>
                </c:pt>
                <c:pt idx="58">
                  <c:v>2828</c:v>
                </c:pt>
                <c:pt idx="59">
                  <c:v>4088</c:v>
                </c:pt>
                <c:pt idx="60">
                  <c:v>3360</c:v>
                </c:pt>
                <c:pt idx="61">
                  <c:v>3830</c:v>
                </c:pt>
                <c:pt idx="62">
                  <c:v>5377</c:v>
                </c:pt>
                <c:pt idx="63">
                  <c:v>5954</c:v>
                </c:pt>
                <c:pt idx="64">
                  <c:v>3290</c:v>
                </c:pt>
                <c:pt idx="65">
                  <c:v>2487</c:v>
                </c:pt>
                <c:pt idx="66">
                  <c:v>3932</c:v>
                </c:pt>
                <c:pt idx="67">
                  <c:v>3988</c:v>
                </c:pt>
                <c:pt idx="68">
                  <c:v>4697</c:v>
                </c:pt>
                <c:pt idx="69">
                  <c:v>5613</c:v>
                </c:pt>
                <c:pt idx="70">
                  <c:v>6268</c:v>
                </c:pt>
                <c:pt idx="71">
                  <c:v>4425</c:v>
                </c:pt>
                <c:pt idx="72">
                  <c:v>2850</c:v>
                </c:pt>
                <c:pt idx="73">
                  <c:v>4813</c:v>
                </c:pt>
                <c:pt idx="74">
                  <c:v>6267</c:v>
                </c:pt>
                <c:pt idx="75">
                  <c:v>6771</c:v>
                </c:pt>
                <c:pt idx="76">
                  <c:v>3484</c:v>
                </c:pt>
                <c:pt idx="77">
                  <c:v>2593</c:v>
                </c:pt>
                <c:pt idx="78">
                  <c:v>3118</c:v>
                </c:pt>
                <c:pt idx="79">
                  <c:v>4562</c:v>
                </c:pt>
                <c:pt idx="80">
                  <c:v>7604</c:v>
                </c:pt>
                <c:pt idx="81">
                  <c:v>7955</c:v>
                </c:pt>
                <c:pt idx="82">
                  <c:v>7491</c:v>
                </c:pt>
                <c:pt idx="83">
                  <c:v>7712</c:v>
                </c:pt>
                <c:pt idx="84">
                  <c:v>5797</c:v>
                </c:pt>
                <c:pt idx="85">
                  <c:v>6356</c:v>
                </c:pt>
                <c:pt idx="86">
                  <c:v>6500</c:v>
                </c:pt>
                <c:pt idx="87">
                  <c:v>9247</c:v>
                </c:pt>
                <c:pt idx="88">
                  <c:v>8862</c:v>
                </c:pt>
                <c:pt idx="89">
                  <c:v>3820</c:v>
                </c:pt>
                <c:pt idx="90">
                  <c:v>5132</c:v>
                </c:pt>
                <c:pt idx="91">
                  <c:v>8433</c:v>
                </c:pt>
                <c:pt idx="92">
                  <c:v>12191</c:v>
                </c:pt>
                <c:pt idx="93">
                  <c:v>4688</c:v>
                </c:pt>
                <c:pt idx="94">
                  <c:v>8597</c:v>
                </c:pt>
                <c:pt idx="95">
                  <c:v>12003</c:v>
                </c:pt>
                <c:pt idx="96">
                  <c:v>11170</c:v>
                </c:pt>
                <c:pt idx="97">
                  <c:v>7711</c:v>
                </c:pt>
                <c:pt idx="98">
                  <c:v>11642</c:v>
                </c:pt>
                <c:pt idx="99">
                  <c:v>11064</c:v>
                </c:pt>
                <c:pt idx="100">
                  <c:v>11843</c:v>
                </c:pt>
                <c:pt idx="101">
                  <c:v>13339</c:v>
                </c:pt>
                <c:pt idx="102">
                  <c:v>15963</c:v>
                </c:pt>
                <c:pt idx="103">
                  <c:v>19180</c:v>
                </c:pt>
                <c:pt idx="104">
                  <c:v>6227</c:v>
                </c:pt>
                <c:pt idx="105">
                  <c:v>15277</c:v>
                </c:pt>
                <c:pt idx="106">
                  <c:v>15389</c:v>
                </c:pt>
                <c:pt idx="107">
                  <c:v>9609</c:v>
                </c:pt>
                <c:pt idx="108">
                  <c:v>8968</c:v>
                </c:pt>
                <c:pt idx="109">
                  <c:v>11515</c:v>
                </c:pt>
                <c:pt idx="110">
                  <c:v>7384</c:v>
                </c:pt>
                <c:pt idx="111">
                  <c:v>14007</c:v>
                </c:pt>
                <c:pt idx="112">
                  <c:v>14969</c:v>
                </c:pt>
                <c:pt idx="113">
                  <c:v>12243</c:v>
                </c:pt>
                <c:pt idx="114">
                  <c:v>10963</c:v>
                </c:pt>
                <c:pt idx="115">
                  <c:v>13084</c:v>
                </c:pt>
                <c:pt idx="116">
                  <c:v>14710</c:v>
                </c:pt>
                <c:pt idx="117">
                  <c:v>17295</c:v>
                </c:pt>
                <c:pt idx="118">
                  <c:v>17450</c:v>
                </c:pt>
                <c:pt idx="119">
                  <c:v>19301</c:v>
                </c:pt>
                <c:pt idx="120">
                  <c:v>19247</c:v>
                </c:pt>
                <c:pt idx="121">
                  <c:v>17388</c:v>
                </c:pt>
                <c:pt idx="122">
                  <c:v>21585</c:v>
                </c:pt>
                <c:pt idx="123">
                  <c:v>21015</c:v>
                </c:pt>
                <c:pt idx="124">
                  <c:v>19995</c:v>
                </c:pt>
                <c:pt idx="125">
                  <c:v>2596</c:v>
                </c:pt>
                <c:pt idx="126">
                  <c:v>11520</c:v>
                </c:pt>
                <c:pt idx="127">
                  <c:v>11159</c:v>
                </c:pt>
                <c:pt idx="128">
                  <c:v>6666</c:v>
                </c:pt>
                <c:pt idx="129">
                  <c:v>19082</c:v>
                </c:pt>
                <c:pt idx="130">
                  <c:v>16696</c:v>
                </c:pt>
                <c:pt idx="132">
                  <c:v>22729</c:v>
                </c:pt>
                <c:pt idx="133">
                  <c:v>23240</c:v>
                </c:pt>
                <c:pt idx="134">
                  <c:v>6980</c:v>
                </c:pt>
                <c:pt idx="135">
                  <c:v>10207</c:v>
                </c:pt>
                <c:pt idx="136">
                  <c:v>23198</c:v>
                </c:pt>
                <c:pt idx="137">
                  <c:v>22234</c:v>
                </c:pt>
                <c:pt idx="138">
                  <c:v>21670</c:v>
                </c:pt>
                <c:pt idx="139">
                  <c:v>17730</c:v>
                </c:pt>
                <c:pt idx="140">
                  <c:v>22593</c:v>
                </c:pt>
                <c:pt idx="141">
                  <c:v>24404</c:v>
                </c:pt>
                <c:pt idx="142">
                  <c:v>6852</c:v>
                </c:pt>
                <c:pt idx="143">
                  <c:v>977</c:v>
                </c:pt>
                <c:pt idx="144">
                  <c:v>20144</c:v>
                </c:pt>
                <c:pt idx="145">
                  <c:v>26285</c:v>
                </c:pt>
                <c:pt idx="146">
                  <c:v>25670</c:v>
                </c:pt>
                <c:pt idx="147">
                  <c:v>25861</c:v>
                </c:pt>
                <c:pt idx="148">
                  <c:v>24940</c:v>
                </c:pt>
                <c:pt idx="149">
                  <c:v>25349</c:v>
                </c:pt>
                <c:pt idx="150">
                  <c:v>25462</c:v>
                </c:pt>
                <c:pt idx="151">
                  <c:v>26820</c:v>
                </c:pt>
                <c:pt idx="152">
                  <c:v>7448</c:v>
                </c:pt>
                <c:pt idx="153">
                  <c:v>21027</c:v>
                </c:pt>
                <c:pt idx="154">
                  <c:v>26670</c:v>
                </c:pt>
                <c:pt idx="155">
                  <c:v>25353</c:v>
                </c:pt>
                <c:pt idx="156">
                  <c:v>14556</c:v>
                </c:pt>
                <c:pt idx="157">
                  <c:v>28140</c:v>
                </c:pt>
                <c:pt idx="158">
                  <c:v>26429</c:v>
                </c:pt>
                <c:pt idx="159">
                  <c:v>28895</c:v>
                </c:pt>
                <c:pt idx="161">
                  <c:v>26649</c:v>
                </c:pt>
                <c:pt idx="162">
                  <c:v>3034</c:v>
                </c:pt>
                <c:pt idx="163">
                  <c:v>25913</c:v>
                </c:pt>
                <c:pt idx="164">
                  <c:v>27793</c:v>
                </c:pt>
                <c:pt idx="165">
                  <c:v>28478</c:v>
                </c:pt>
                <c:pt idx="166">
                  <c:v>6416</c:v>
                </c:pt>
                <c:pt idx="167">
                  <c:v>3521</c:v>
                </c:pt>
                <c:pt idx="168">
                  <c:v>16087</c:v>
                </c:pt>
                <c:pt idx="169">
                  <c:v>30994</c:v>
                </c:pt>
                <c:pt idx="170">
                  <c:v>27829</c:v>
                </c:pt>
                <c:pt idx="171">
                  <c:v>31236</c:v>
                </c:pt>
                <c:pt idx="172">
                  <c:v>13790</c:v>
                </c:pt>
                <c:pt idx="173">
                  <c:v>27674</c:v>
                </c:pt>
                <c:pt idx="174">
                  <c:v>28781</c:v>
                </c:pt>
                <c:pt idx="175">
                  <c:v>29057</c:v>
                </c:pt>
                <c:pt idx="176">
                  <c:v>28079</c:v>
                </c:pt>
                <c:pt idx="177">
                  <c:v>28991</c:v>
                </c:pt>
                <c:pt idx="178">
                  <c:v>31020</c:v>
                </c:pt>
                <c:pt idx="179">
                  <c:v>24355</c:v>
                </c:pt>
                <c:pt idx="180">
                  <c:v>30372</c:v>
                </c:pt>
                <c:pt idx="181">
                  <c:v>31681</c:v>
                </c:pt>
                <c:pt idx="182">
                  <c:v>31928</c:v>
                </c:pt>
                <c:pt idx="183">
                  <c:v>30693</c:v>
                </c:pt>
                <c:pt idx="184">
                  <c:v>29761</c:v>
                </c:pt>
                <c:pt idx="185">
                  <c:v>33257</c:v>
                </c:pt>
                <c:pt idx="186">
                  <c:v>33424</c:v>
                </c:pt>
                <c:pt idx="187">
                  <c:v>30498</c:v>
                </c:pt>
                <c:pt idx="188">
                  <c:v>32002</c:v>
                </c:pt>
                <c:pt idx="189">
                  <c:v>35103</c:v>
                </c:pt>
                <c:pt idx="190">
                  <c:v>25911</c:v>
                </c:pt>
                <c:pt idx="191">
                  <c:v>29342</c:v>
                </c:pt>
                <c:pt idx="192">
                  <c:v>24832</c:v>
                </c:pt>
                <c:pt idx="193">
                  <c:v>34544</c:v>
                </c:pt>
                <c:pt idx="194">
                  <c:v>36149</c:v>
                </c:pt>
                <c:pt idx="195">
                  <c:v>23818</c:v>
                </c:pt>
                <c:pt idx="196">
                  <c:v>33492</c:v>
                </c:pt>
                <c:pt idx="197">
                  <c:v>34360</c:v>
                </c:pt>
                <c:pt idx="198">
                  <c:v>32487</c:v>
                </c:pt>
                <c:pt idx="199">
                  <c:v>27541</c:v>
                </c:pt>
                <c:pt idx="200">
                  <c:v>35349</c:v>
                </c:pt>
                <c:pt idx="201">
                  <c:v>34639</c:v>
                </c:pt>
                <c:pt idx="202">
                  <c:v>34621</c:v>
                </c:pt>
                <c:pt idx="203">
                  <c:v>34079</c:v>
                </c:pt>
                <c:pt idx="204">
                  <c:v>31949</c:v>
                </c:pt>
                <c:pt idx="205">
                  <c:v>27028</c:v>
                </c:pt>
                <c:pt idx="206">
                  <c:v>32702</c:v>
                </c:pt>
                <c:pt idx="207">
                  <c:v>5200</c:v>
                </c:pt>
                <c:pt idx="208">
                  <c:v>29755</c:v>
                </c:pt>
                <c:pt idx="209">
                  <c:v>21647</c:v>
                </c:pt>
                <c:pt idx="210">
                  <c:v>30297</c:v>
                </c:pt>
                <c:pt idx="211">
                  <c:v>20479</c:v>
                </c:pt>
                <c:pt idx="212">
                  <c:v>3231</c:v>
                </c:pt>
                <c:pt idx="213">
                  <c:v>5240</c:v>
                </c:pt>
                <c:pt idx="214">
                  <c:v>29293</c:v>
                </c:pt>
                <c:pt idx="215">
                  <c:v>31781</c:v>
                </c:pt>
                <c:pt idx="216">
                  <c:v>28182</c:v>
                </c:pt>
                <c:pt idx="217">
                  <c:v>33676</c:v>
                </c:pt>
                <c:pt idx="218">
                  <c:v>31076</c:v>
                </c:pt>
                <c:pt idx="219">
                  <c:v>30080</c:v>
                </c:pt>
                <c:pt idx="220">
                  <c:v>6191</c:v>
                </c:pt>
                <c:pt idx="221">
                  <c:v>20641</c:v>
                </c:pt>
                <c:pt idx="222">
                  <c:v>24135</c:v>
                </c:pt>
                <c:pt idx="223">
                  <c:v>29428</c:v>
                </c:pt>
                <c:pt idx="224">
                  <c:v>30088</c:v>
                </c:pt>
                <c:pt idx="225">
                  <c:v>25814</c:v>
                </c:pt>
                <c:pt idx="226">
                  <c:v>22790</c:v>
                </c:pt>
                <c:pt idx="227">
                  <c:v>26823</c:v>
                </c:pt>
                <c:pt idx="228">
                  <c:v>28435</c:v>
                </c:pt>
                <c:pt idx="229">
                  <c:v>27896</c:v>
                </c:pt>
                <c:pt idx="230">
                  <c:v>27820</c:v>
                </c:pt>
                <c:pt idx="231">
                  <c:v>26699</c:v>
                </c:pt>
                <c:pt idx="232">
                  <c:v>21283</c:v>
                </c:pt>
                <c:pt idx="233">
                  <c:v>18563</c:v>
                </c:pt>
                <c:pt idx="234">
                  <c:v>24890</c:v>
                </c:pt>
                <c:pt idx="235">
                  <c:v>24635</c:v>
                </c:pt>
                <c:pt idx="236">
                  <c:v>25918</c:v>
                </c:pt>
                <c:pt idx="237">
                  <c:v>24915</c:v>
                </c:pt>
                <c:pt idx="238">
                  <c:v>23275</c:v>
                </c:pt>
                <c:pt idx="239">
                  <c:v>16880</c:v>
                </c:pt>
                <c:pt idx="240">
                  <c:v>18190</c:v>
                </c:pt>
                <c:pt idx="241">
                  <c:v>23695</c:v>
                </c:pt>
                <c:pt idx="242">
                  <c:v>22897</c:v>
                </c:pt>
                <c:pt idx="243">
                  <c:v>20712</c:v>
                </c:pt>
                <c:pt idx="244">
                  <c:v>20693</c:v>
                </c:pt>
                <c:pt idx="245">
                  <c:v>20794</c:v>
                </c:pt>
                <c:pt idx="246">
                  <c:v>18363</c:v>
                </c:pt>
                <c:pt idx="247">
                  <c:v>17415</c:v>
                </c:pt>
                <c:pt idx="248">
                  <c:v>19171</c:v>
                </c:pt>
                <c:pt idx="249">
                  <c:v>23806</c:v>
                </c:pt>
                <c:pt idx="250">
                  <c:v>23880</c:v>
                </c:pt>
                <c:pt idx="251">
                  <c:v>21644</c:v>
                </c:pt>
                <c:pt idx="252">
                  <c:v>23833</c:v>
                </c:pt>
                <c:pt idx="253">
                  <c:v>20009</c:v>
                </c:pt>
                <c:pt idx="254">
                  <c:v>17498</c:v>
                </c:pt>
                <c:pt idx="255">
                  <c:v>22827</c:v>
                </c:pt>
                <c:pt idx="256">
                  <c:v>23836</c:v>
                </c:pt>
                <c:pt idx="257">
                  <c:v>18565</c:v>
                </c:pt>
                <c:pt idx="258">
                  <c:v>25329</c:v>
                </c:pt>
                <c:pt idx="259">
                  <c:v>28820</c:v>
                </c:pt>
                <c:pt idx="260">
                  <c:v>26398</c:v>
                </c:pt>
                <c:pt idx="261">
                  <c:v>24547</c:v>
                </c:pt>
                <c:pt idx="262">
                  <c:v>26827</c:v>
                </c:pt>
                <c:pt idx="263">
                  <c:v>25133</c:v>
                </c:pt>
                <c:pt idx="264">
                  <c:v>26072</c:v>
                </c:pt>
                <c:pt idx="265">
                  <c:v>15958</c:v>
                </c:pt>
                <c:pt idx="266">
                  <c:v>11658</c:v>
                </c:pt>
                <c:pt idx="267">
                  <c:v>27302</c:v>
                </c:pt>
                <c:pt idx="268">
                  <c:v>19310</c:v>
                </c:pt>
                <c:pt idx="269">
                  <c:v>14435</c:v>
                </c:pt>
                <c:pt idx="270">
                  <c:v>9092</c:v>
                </c:pt>
                <c:pt idx="271">
                  <c:v>9184</c:v>
                </c:pt>
                <c:pt idx="272">
                  <c:v>20959</c:v>
                </c:pt>
                <c:pt idx="273">
                  <c:v>27817</c:v>
                </c:pt>
                <c:pt idx="274">
                  <c:v>26010</c:v>
                </c:pt>
                <c:pt idx="275">
                  <c:v>26881</c:v>
                </c:pt>
                <c:pt idx="276">
                  <c:v>10802</c:v>
                </c:pt>
                <c:pt idx="277">
                  <c:v>29529</c:v>
                </c:pt>
                <c:pt idx="278">
                  <c:v>31114</c:v>
                </c:pt>
                <c:pt idx="279">
                  <c:v>27838</c:v>
                </c:pt>
                <c:pt idx="280">
                  <c:v>30381</c:v>
                </c:pt>
                <c:pt idx="281">
                  <c:v>29813</c:v>
                </c:pt>
                <c:pt idx="282">
                  <c:v>28354</c:v>
                </c:pt>
                <c:pt idx="283">
                  <c:v>30781</c:v>
                </c:pt>
                <c:pt idx="284">
                  <c:v>31694</c:v>
                </c:pt>
                <c:pt idx="285">
                  <c:v>31809</c:v>
                </c:pt>
                <c:pt idx="286">
                  <c:v>30991</c:v>
                </c:pt>
                <c:pt idx="287">
                  <c:v>28199</c:v>
                </c:pt>
                <c:pt idx="288">
                  <c:v>25079</c:v>
                </c:pt>
                <c:pt idx="289">
                  <c:v>14178</c:v>
                </c:pt>
                <c:pt idx="290">
                  <c:v>30290</c:v>
                </c:pt>
                <c:pt idx="293">
                  <c:v>14282</c:v>
                </c:pt>
                <c:pt idx="294">
                  <c:v>18266</c:v>
                </c:pt>
                <c:pt idx="295">
                  <c:v>26398</c:v>
                </c:pt>
                <c:pt idx="296">
                  <c:v>20060</c:v>
                </c:pt>
                <c:pt idx="297">
                  <c:v>17259</c:v>
                </c:pt>
                <c:pt idx="298">
                  <c:v>23350</c:v>
                </c:pt>
                <c:pt idx="299">
                  <c:v>28018</c:v>
                </c:pt>
                <c:pt idx="300">
                  <c:v>30789</c:v>
                </c:pt>
                <c:pt idx="302">
                  <c:v>31447</c:v>
                </c:pt>
                <c:pt idx="304">
                  <c:v>27909</c:v>
                </c:pt>
                <c:pt idx="306">
                  <c:v>30349</c:v>
                </c:pt>
                <c:pt idx="308">
                  <c:v>4522</c:v>
                </c:pt>
                <c:pt idx="309">
                  <c:v>16037</c:v>
                </c:pt>
                <c:pt idx="310">
                  <c:v>27614</c:v>
                </c:pt>
                <c:pt idx="311">
                  <c:v>29362</c:v>
                </c:pt>
                <c:pt idx="313">
                  <c:v>24410</c:v>
                </c:pt>
                <c:pt idx="314">
                  <c:v>24526</c:v>
                </c:pt>
                <c:pt idx="315">
                  <c:v>26237</c:v>
                </c:pt>
                <c:pt idx="316">
                  <c:v>25542</c:v>
                </c:pt>
                <c:pt idx="317">
                  <c:v>24349</c:v>
                </c:pt>
                <c:pt idx="318">
                  <c:v>26198</c:v>
                </c:pt>
                <c:pt idx="319">
                  <c:v>26956</c:v>
                </c:pt>
                <c:pt idx="320">
                  <c:v>26502</c:v>
                </c:pt>
                <c:pt idx="321">
                  <c:v>26504</c:v>
                </c:pt>
                <c:pt idx="322">
                  <c:v>27437</c:v>
                </c:pt>
                <c:pt idx="323">
                  <c:v>25355</c:v>
                </c:pt>
                <c:pt idx="324">
                  <c:v>23906</c:v>
                </c:pt>
                <c:pt idx="325">
                  <c:v>26075</c:v>
                </c:pt>
                <c:pt idx="326">
                  <c:v>21601</c:v>
                </c:pt>
                <c:pt idx="327">
                  <c:v>26418</c:v>
                </c:pt>
                <c:pt idx="328">
                  <c:v>27258</c:v>
                </c:pt>
                <c:pt idx="329">
                  <c:v>13377</c:v>
                </c:pt>
                <c:pt idx="330">
                  <c:v>18398</c:v>
                </c:pt>
                <c:pt idx="331">
                  <c:v>11589</c:v>
                </c:pt>
                <c:pt idx="332">
                  <c:v>19877</c:v>
                </c:pt>
                <c:pt idx="333">
                  <c:v>20822</c:v>
                </c:pt>
                <c:pt idx="334">
                  <c:v>21545</c:v>
                </c:pt>
                <c:pt idx="335">
                  <c:v>22964</c:v>
                </c:pt>
                <c:pt idx="336">
                  <c:v>24077</c:v>
                </c:pt>
                <c:pt idx="338">
                  <c:v>20471</c:v>
                </c:pt>
                <c:pt idx="339">
                  <c:v>23472</c:v>
                </c:pt>
                <c:pt idx="341">
                  <c:v>16525</c:v>
                </c:pt>
                <c:pt idx="342">
                  <c:v>1721</c:v>
                </c:pt>
                <c:pt idx="344">
                  <c:v>18473</c:v>
                </c:pt>
                <c:pt idx="345">
                  <c:v>13138</c:v>
                </c:pt>
                <c:pt idx="346">
                  <c:v>21003</c:v>
                </c:pt>
                <c:pt idx="347">
                  <c:v>21992</c:v>
                </c:pt>
                <c:pt idx="348">
                  <c:v>22707</c:v>
                </c:pt>
                <c:pt idx="349">
                  <c:v>21502</c:v>
                </c:pt>
                <c:pt idx="350">
                  <c:v>20660</c:v>
                </c:pt>
                <c:pt idx="351">
                  <c:v>15689</c:v>
                </c:pt>
                <c:pt idx="352">
                  <c:v>14319</c:v>
                </c:pt>
                <c:pt idx="353">
                  <c:v>18956</c:v>
                </c:pt>
                <c:pt idx="354">
                  <c:v>19127</c:v>
                </c:pt>
                <c:pt idx="355">
                  <c:v>15732</c:v>
                </c:pt>
                <c:pt idx="356">
                  <c:v>16496</c:v>
                </c:pt>
                <c:pt idx="357">
                  <c:v>16314</c:v>
                </c:pt>
                <c:pt idx="358">
                  <c:v>6477</c:v>
                </c:pt>
                <c:pt idx="359">
                  <c:v>11212</c:v>
                </c:pt>
                <c:pt idx="360">
                  <c:v>17162</c:v>
                </c:pt>
                <c:pt idx="361">
                  <c:v>16282</c:v>
                </c:pt>
                <c:pt idx="362">
                  <c:v>16524</c:v>
                </c:pt>
                <c:pt idx="363">
                  <c:v>16423</c:v>
                </c:pt>
                <c:pt idx="364">
                  <c:v>16297</c:v>
                </c:pt>
              </c:numCache>
            </c:numRef>
          </c:val>
          <c:smooth val="0"/>
          <c:extLst>
            <c:ext xmlns:c16="http://schemas.microsoft.com/office/drawing/2014/chart" uri="{C3380CC4-5D6E-409C-BE32-E72D297353CC}">
              <c16:uniqueId val="{00000000-DB58-4866-8A1B-2B27295EAC0C}"/>
            </c:ext>
          </c:extLst>
        </c:ser>
        <c:dLbls>
          <c:showLegendKey val="0"/>
          <c:showVal val="0"/>
          <c:showCatName val="0"/>
          <c:showSerName val="0"/>
          <c:showPercent val="0"/>
          <c:showBubbleSize val="0"/>
        </c:dLbls>
        <c:smooth val="0"/>
        <c:axId val="235295727"/>
        <c:axId val="235297807"/>
      </c:lineChart>
      <c:dateAx>
        <c:axId val="235295727"/>
        <c:scaling>
          <c:orientation val="minMax"/>
        </c:scaling>
        <c:delete val="0"/>
        <c:axPos val="b"/>
        <c:numFmt formatCode="m/d/yyyy" sourceLinked="0"/>
        <c:majorTickMark val="cross"/>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235297807"/>
        <c:crosses val="autoZero"/>
        <c:auto val="0"/>
        <c:lblOffset val="100"/>
        <c:baseTimeUnit val="days"/>
        <c:majorUnit val="28"/>
        <c:minorUnit val="28"/>
      </c:dateAx>
      <c:valAx>
        <c:axId val="23529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dk1"/>
                    </a:solidFill>
                    <a:latin typeface="+mn-lt"/>
                    <a:ea typeface="+mn-ea"/>
                    <a:cs typeface="+mn-cs"/>
                  </a:defRPr>
                </a:pPr>
                <a:r>
                  <a:rPr lang="en-GB" sz="1100" b="1"/>
                  <a:t>Total Rentals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5295727"/>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[coursework excel.xlsx]data2!PivotTable3</c:name>
    <c:fmtId val="2"/>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latin typeface="+mn-lt"/>
              </a:rPr>
              <a:t>Average Daily Rentals per Season</a:t>
            </a:r>
          </a:p>
        </c:rich>
      </c:tx>
      <c:layout>
        <c:manualLayout>
          <c:xMode val="edge"/>
          <c:yMode val="edge"/>
          <c:x val="0.13693848364307229"/>
          <c:y val="2.758630780908484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00" sourceLinked="0"/>
          <c:spPr>
            <a:noFill/>
            <a:ln>
              <a:noFill/>
            </a:ln>
            <a:effectLst>
              <a:outerShdw blurRad="50800" dist="50800" dir="5400000" sx="102000" sy="102000" algn="ctr" rotWithShape="0">
                <a:srgbClr val="000000">
                  <a:alpha val="43137"/>
                </a:srgbClr>
              </a:outerShdw>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2"/>
          </a:solidFill>
          <a:ln>
            <a:noFill/>
          </a:ln>
          <a:effectLst/>
        </c:spPr>
        <c:dLbl>
          <c:idx val="0"/>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2"/>
          </a:solidFill>
          <a:ln>
            <a:noFill/>
          </a:ln>
          <a:effectLst/>
        </c:spPr>
        <c:dLbl>
          <c:idx val="0"/>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2"/>
          </a:solidFill>
          <a:ln>
            <a:noFill/>
          </a:ln>
          <a:effectLst/>
        </c:spPr>
        <c:dLbl>
          <c:idx val="0"/>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2"/>
          </a:solidFill>
          <a:ln>
            <a:noFill/>
          </a:ln>
          <a:effectLst/>
        </c:spPr>
        <c:dLbl>
          <c:idx val="0"/>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data2!$L$6</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5571-4429-9568-D2F63D8A080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5571-4429-9568-D2F63D8A0808}"/>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5571-4429-9568-D2F63D8A0808}"/>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5571-4429-9568-D2F63D8A0808}"/>
              </c:ext>
            </c:extLst>
          </c:dPt>
          <c:dLbls>
            <c:dLbl>
              <c:idx val="0"/>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571-4429-9568-D2F63D8A0808}"/>
                </c:ext>
              </c:extLst>
            </c:dLbl>
            <c:dLbl>
              <c:idx val="1"/>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5571-4429-9568-D2F63D8A0808}"/>
                </c:ext>
              </c:extLst>
            </c:dLbl>
            <c:dLbl>
              <c:idx val="2"/>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5571-4429-9568-D2F63D8A0808}"/>
                </c:ext>
              </c:extLst>
            </c:dLbl>
            <c:dLbl>
              <c:idx val="3"/>
              <c:numFmt formatCode="#,##0.00" sourceLinked="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5571-4429-9568-D2F63D8A0808}"/>
                </c:ext>
              </c:extLst>
            </c:dLbl>
            <c:numFmt formatCode="#,##0.00" sourceLinked="0"/>
            <c:spPr>
              <a:noFill/>
              <a:ln>
                <a:noFill/>
              </a:ln>
              <a:effectLst>
                <a:outerShdw blurRad="50800" dist="50800" dir="5400000" sx="102000" sy="102000" algn="ctr" rotWithShape="0">
                  <a:srgbClr val="000000">
                    <a:alpha val="43137"/>
                  </a:srgbClr>
                </a:outerShdw>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data2!$K$7:$K$11</c:f>
              <c:strCache>
                <c:ptCount val="4"/>
                <c:pt idx="0">
                  <c:v>Summer</c:v>
                </c:pt>
                <c:pt idx="1">
                  <c:v>Autumn</c:v>
                </c:pt>
                <c:pt idx="2">
                  <c:v>Spring</c:v>
                </c:pt>
                <c:pt idx="3">
                  <c:v>Winter</c:v>
                </c:pt>
              </c:strCache>
            </c:strRef>
          </c:cat>
          <c:val>
            <c:numRef>
              <c:f>data2!$L$7:$L$11</c:f>
              <c:numCache>
                <c:formatCode>General</c:formatCode>
                <c:ptCount val="4"/>
                <c:pt idx="0">
                  <c:v>24817.760869565216</c:v>
                </c:pt>
                <c:pt idx="1">
                  <c:v>22098.790123456791</c:v>
                </c:pt>
                <c:pt idx="2">
                  <c:v>17910.099999999999</c:v>
                </c:pt>
                <c:pt idx="3">
                  <c:v>5412.9888888888891</c:v>
                </c:pt>
              </c:numCache>
            </c:numRef>
          </c:val>
          <c:extLst>
            <c:ext xmlns:c16="http://schemas.microsoft.com/office/drawing/2014/chart" uri="{C3380CC4-5D6E-409C-BE32-E72D297353CC}">
              <c16:uniqueId val="{00000000-5571-4429-9568-D2F63D8A0808}"/>
            </c:ext>
          </c:extLst>
        </c:ser>
        <c:dLbls>
          <c:showLegendKey val="0"/>
          <c:showVal val="1"/>
          <c:showCatName val="0"/>
          <c:showSerName val="0"/>
          <c:showPercent val="0"/>
          <c:showBubbleSize val="0"/>
        </c:dLbls>
        <c:gapWidth val="33"/>
        <c:overlap val="-30"/>
        <c:axId val="304471983"/>
        <c:axId val="304470735"/>
      </c:barChart>
      <c:catAx>
        <c:axId val="304471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304470735"/>
        <c:crosses val="autoZero"/>
        <c:auto val="1"/>
        <c:lblAlgn val="ctr"/>
        <c:lblOffset val="100"/>
        <c:noMultiLvlLbl val="0"/>
      </c:catAx>
      <c:valAx>
        <c:axId val="304470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r>
                  <a:rPr lang="en-GB" sz="1200" b="1"/>
                  <a:t>Total Rentals (thousands)</a:t>
                </a:r>
              </a:p>
            </c:rich>
          </c:tx>
          <c:layout>
            <c:manualLayout>
              <c:xMode val="edge"/>
              <c:yMode val="edge"/>
              <c:x val="0.41886000905927262"/>
              <c:y val="0.8875491783039315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4471983"/>
        <c:crosses val="max"/>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GB" b="1"/>
              <a:t>Yearly Growth</a:t>
            </a:r>
          </a:p>
        </c:rich>
      </c:tx>
      <c:overlay val="1"/>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trendline>
            <c:spPr>
              <a:ln w="34925" cap="rnd">
                <a:solidFill>
                  <a:schemeClr val="accent1">
                    <a:lumMod val="50000"/>
                  </a:schemeClr>
                </a:solidFill>
                <a:prstDash val="sysDot"/>
              </a:ln>
              <a:effectLst/>
            </c:spPr>
            <c:trendlineType val="linear"/>
            <c:dispRSqr val="0"/>
            <c:dispEq val="0"/>
          </c:trendline>
          <c:cat>
            <c:strRef>
              <c:f>(Dashboard!$P$6,Dashboard!$P$8)</c:f>
              <c:strCache>
                <c:ptCount val="2"/>
                <c:pt idx="0">
                  <c:v>First Week Average:</c:v>
                </c:pt>
                <c:pt idx="1">
                  <c:v>Last Week Average:</c:v>
                </c:pt>
              </c:strCache>
            </c:strRef>
          </c:cat>
          <c:val>
            <c:numRef>
              <c:f>(Dashboard!$Q$6,Dashboard!$Q$8)</c:f>
              <c:numCache>
                <c:formatCode>_-* #,##0_-;\-* #,##0_-;_-* "-"??_-;_-@_-</c:formatCode>
                <c:ptCount val="2"/>
                <c:pt idx="0">
                  <c:v>8220</c:v>
                </c:pt>
                <c:pt idx="1">
                  <c:v>14340</c:v>
                </c:pt>
              </c:numCache>
            </c:numRef>
          </c:val>
          <c:extLst>
            <c:ext xmlns:c16="http://schemas.microsoft.com/office/drawing/2014/chart" uri="{C3380CC4-5D6E-409C-BE32-E72D297353CC}">
              <c16:uniqueId val="{00000000-AFA7-48AE-BF7B-53ABA26E883E}"/>
            </c:ext>
          </c:extLst>
        </c:ser>
        <c:dLbls>
          <c:showLegendKey val="0"/>
          <c:showVal val="0"/>
          <c:showCatName val="0"/>
          <c:showSerName val="0"/>
          <c:showPercent val="0"/>
          <c:showBubbleSize val="0"/>
        </c:dLbls>
        <c:gapWidth val="219"/>
        <c:overlap val="-27"/>
        <c:axId val="1903308592"/>
        <c:axId val="1903304432"/>
      </c:barChart>
      <c:catAx>
        <c:axId val="190330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1903304432"/>
        <c:crosses val="autoZero"/>
        <c:auto val="1"/>
        <c:lblAlgn val="ctr"/>
        <c:lblOffset val="100"/>
        <c:noMultiLvlLbl val="0"/>
      </c:catAx>
      <c:valAx>
        <c:axId val="1903304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dk1"/>
                    </a:solidFill>
                    <a:latin typeface="+mn-lt"/>
                    <a:ea typeface="+mn-ea"/>
                    <a:cs typeface="+mn-cs"/>
                  </a:defRPr>
                </a:pPr>
                <a:r>
                  <a:rPr lang="en-GB" sz="1100" b="1"/>
                  <a:t>Total Rentals (Thousands)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3308592"/>
        <c:crosses val="autoZero"/>
        <c:crossBetween val="between"/>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txData>
          <cx:v>Operating days</cx:v>
        </cx:txData>
      </cx:tx>
      <cx:txPr>
        <a:bodyPr spcFirstLastPara="1" vertOverflow="ellipsis" horzOverflow="overflow" wrap="square" lIns="0" tIns="0" rIns="0" bIns="0" anchor="ctr" anchorCtr="1"/>
        <a:lstStyle/>
        <a:p>
          <a:pPr algn="ctr" rtl="0">
            <a:defRPr b="1"/>
          </a:pPr>
          <a:r>
            <a:rPr lang="en-US" sz="1400" b="1" i="0" u="none" strike="noStrike" kern="1200" spc="0" baseline="0">
              <a:solidFill>
                <a:sysClr val="windowText" lastClr="000000">
                  <a:lumMod val="65000"/>
                  <a:lumOff val="35000"/>
                </a:sysClr>
              </a:solidFill>
              <a:latin typeface="Calibri" panose="020F0502020204030204"/>
            </a:rPr>
            <a:t>Operating days</a:t>
          </a:r>
        </a:p>
      </cx:txPr>
    </cx:title>
    <cx:plotArea>
      <cx:plotAreaRegion>
        <cx:plotSurface>
          <cx:spPr>
            <a:effectLst>
              <a:outerShdw blurRad="50800" dist="38100" dir="2700000" algn="tl" rotWithShape="0">
                <a:prstClr val="black">
                  <a:alpha val="40000"/>
                </a:prstClr>
              </a:outerShdw>
            </a:effectLst>
          </cx:spPr>
        </cx:plotSurface>
        <cx:series layoutId="sunburst" uniqueId="{800A1D0E-76AE-4BCD-9F60-1D43F3295B0C}">
          <cx:spPr>
            <a:effectLst>
              <a:outerShdw blurRad="50800" dist="38100" dir="2700000" algn="tl" rotWithShape="0">
                <a:prstClr val="black">
                  <a:alpha val="40000"/>
                </a:prstClr>
              </a:outerShdw>
            </a:effectLst>
          </cx:spPr>
          <cx:dataLabels pos="ctr">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900" b="1" u="none"/>
                </a:pPr>
                <a:endParaRPr lang="en-US" sz="900" b="1" i="0" u="none" strike="noStrike" baseline="0">
                  <a:solidFill>
                    <a:sysClr val="window" lastClr="FFFFFF"/>
                  </a:solidFill>
                  <a:latin typeface="Calibri" panose="020F0502020204030204"/>
                </a:endParaRPr>
              </a:p>
            </cx:txPr>
            <cx:visibility seriesName="0" categoryName="0" value="1"/>
            <cx:separator>, </cx:separator>
            <cx:dataLabel idx="0">
              <cx:visibility seriesName="0" categoryName="0" value="1"/>
              <cx:separator>, </cx:separator>
            </cx:dataLabel>
          </cx:dataLabels>
          <cx:dataId val="0"/>
        </cx:series>
      </cx:plotAreaRegion>
    </cx:plotArea>
  </cx:chart>
  <cx:spPr>
    <a:solidFill>
      <a:schemeClr val="lt1"/>
    </a:solidFill>
    <a:ln w="12700" cap="flat" cmpd="sng" algn="ctr">
      <a:solidFill>
        <a:schemeClr val="tx1"/>
      </a:solidFill>
      <a:prstDash val="solid"/>
      <a:miter lim="800000"/>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5 Days with Least Daily Rentals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Top 5 Days with Least Daily Rentals</a:t>
          </a:r>
        </a:p>
      </cx:txPr>
    </cx:title>
    <cx:plotArea>
      <cx:plotAreaRegion>
        <cx:series layoutId="funnel" uniqueId="{EF18D6B5-9A98-4E01-A54E-0FDEF51D9F4A}">
          <cx:dataLabels>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800" b="1"/>
                </a:pPr>
                <a:endParaRPr lang="en-US" sz="18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axis>
    </cx:plotArea>
  </cx:chart>
  <cx: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Top 5 Days with Most Daily Rentals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Top 5 Days with Most Daily Rentals</a:t>
          </a:r>
        </a:p>
      </cx:txPr>
    </cx:title>
    <cx:plotArea>
      <cx:plotAreaRegion>
        <cx:series layoutId="funnel" uniqueId="{79EF7B26-E7E5-4D4E-BB43-6EF46AE8E73C}">
          <cx:dataLabels>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800" b="1"/>
                </a:pPr>
                <a:endParaRPr lang="en-US" sz="1800" b="1" i="0" u="none" strike="noStrike" baseline="0">
                  <a:solidFill>
                    <a:sysClr val="windowText" lastClr="000000">
                      <a:lumMod val="65000"/>
                      <a:lumOff val="35000"/>
                    </a:sys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sz="2000"/>
                  </a:pPr>
                  <a:r>
                    <a:rPr lang="en-US" sz="2000" b="1" i="0" u="none" strike="noStrike" baseline="0">
                      <a:solidFill>
                        <a:sysClr val="windowText" lastClr="000000">
                          <a:lumMod val="65000"/>
                          <a:lumOff val="35000"/>
                        </a:sysClr>
                      </a:solidFill>
                      <a:latin typeface="Calibri" panose="020F0502020204030204"/>
                    </a:rPr>
                    <a:t>36149</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axis>
    </cx:plotArea>
  </cx:chart>
  <cx: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3.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533399</xdr:colOff>
      <xdr:row>21</xdr:row>
      <xdr:rowOff>171450</xdr:rowOff>
    </xdr:from>
    <xdr:to>
      <xdr:col>12</xdr:col>
      <xdr:colOff>371474</xdr:colOff>
      <xdr:row>36</xdr:row>
      <xdr:rowOff>190500</xdr:rowOff>
    </xdr:to>
    <xdr:graphicFrame macro="">
      <xdr:nvGraphicFramePr>
        <xdr:cNvPr id="2" name="Chart 1" descr="Chart type: Clustered Bar. 'Total Rentals' by 'Season'&#10;&#10;Description automatically generated">
          <a:extLst>
            <a:ext uri="{FF2B5EF4-FFF2-40B4-BE49-F238E27FC236}">
              <a16:creationId xmlns:a16="http://schemas.microsoft.com/office/drawing/2014/main" id="{17FE52DD-7CAD-5079-A3B9-18F77CECE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0</xdr:row>
      <xdr:rowOff>114299</xdr:rowOff>
    </xdr:from>
    <xdr:to>
      <xdr:col>12</xdr:col>
      <xdr:colOff>361951</xdr:colOff>
      <xdr:row>21</xdr:row>
      <xdr:rowOff>76199</xdr:rowOff>
    </xdr:to>
    <xdr:graphicFrame macro="">
      <xdr:nvGraphicFramePr>
        <xdr:cNvPr id="3" name="Chart 2" descr="Chart type: Line. 'Total Rentals' by 'Date'&#10;&#10;Description automatically generated">
          <a:extLst>
            <a:ext uri="{FF2B5EF4-FFF2-40B4-BE49-F238E27FC236}">
              <a16:creationId xmlns:a16="http://schemas.microsoft.com/office/drawing/2014/main" id="{7CA3F5C0-2381-41AC-B51A-6973CB7D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419100</xdr:colOff>
      <xdr:row>0</xdr:row>
      <xdr:rowOff>122766</xdr:rowOff>
    </xdr:from>
    <xdr:to>
      <xdr:col>14</xdr:col>
      <xdr:colOff>560917</xdr:colOff>
      <xdr:row>8</xdr:row>
      <xdr:rowOff>141552</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6C9BBA28-F3F1-4A84-A89B-C393B76F8B7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240183" y="122766"/>
              <a:ext cx="1051984" cy="1553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353482</xdr:colOff>
      <xdr:row>21</xdr:row>
      <xdr:rowOff>170393</xdr:rowOff>
    </xdr:from>
    <xdr:to>
      <xdr:col>6</xdr:col>
      <xdr:colOff>439208</xdr:colOff>
      <xdr:row>36</xdr:row>
      <xdr:rowOff>190500</xdr:rowOff>
    </xdr:to>
    <xdr:graphicFrame macro="">
      <xdr:nvGraphicFramePr>
        <xdr:cNvPr id="5" name="Chart 4" descr="Chart type: Clustered Bar. 'Total Rentals' by 'Season'&#10;&#10;Description automatically generated">
          <a:extLst>
            <a:ext uri="{FF2B5EF4-FFF2-40B4-BE49-F238E27FC236}">
              <a16:creationId xmlns:a16="http://schemas.microsoft.com/office/drawing/2014/main" id="{4656F2E7-B6F1-4AFF-91A4-7819525A6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449790</xdr:colOff>
      <xdr:row>21</xdr:row>
      <xdr:rowOff>182032</xdr:rowOff>
    </xdr:from>
    <xdr:to>
      <xdr:col>16</xdr:col>
      <xdr:colOff>814915</xdr:colOff>
      <xdr:row>36</xdr:row>
      <xdr:rowOff>191559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A71E6A1-B2C0-4FD5-AEA1-262126CC1FD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231715" y="4211107"/>
              <a:ext cx="3679825" cy="300037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76200</xdr:colOff>
      <xdr:row>21</xdr:row>
      <xdr:rowOff>171450</xdr:rowOff>
    </xdr:from>
    <xdr:to>
      <xdr:col>24</xdr:col>
      <xdr:colOff>550334</xdr:colOff>
      <xdr:row>36</xdr:row>
      <xdr:rowOff>180975</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6ED388F-276B-44BF-8E00-B993DEA791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439775" y="4200525"/>
              <a:ext cx="4131734" cy="30003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66675</xdr:colOff>
      <xdr:row>0</xdr:row>
      <xdr:rowOff>95249</xdr:rowOff>
    </xdr:from>
    <xdr:to>
      <xdr:col>24</xdr:col>
      <xdr:colOff>542925</xdr:colOff>
      <xdr:row>21</xdr:row>
      <xdr:rowOff>84666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532E28D-5C04-48CC-9805-49BA204FD5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430250" y="95249"/>
              <a:ext cx="4133850" cy="401849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438150</xdr:colOff>
      <xdr:row>10</xdr:row>
      <xdr:rowOff>83343</xdr:rowOff>
    </xdr:from>
    <xdr:to>
      <xdr:col>17</xdr:col>
      <xdr:colOff>1362074</xdr:colOff>
      <xdr:row>21</xdr:row>
      <xdr:rowOff>76200</xdr:rowOff>
    </xdr:to>
    <xdr:graphicFrame macro="">
      <xdr:nvGraphicFramePr>
        <xdr:cNvPr id="9" name="Chart 8">
          <a:extLst>
            <a:ext uri="{FF2B5EF4-FFF2-40B4-BE49-F238E27FC236}">
              <a16:creationId xmlns:a16="http://schemas.microsoft.com/office/drawing/2014/main" id="{1A944A1B-702B-D878-2DCB-7AEEDC16B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0.82895</cdr:x>
      <cdr:y>0.01712</cdr:y>
    </cdr:from>
    <cdr:to>
      <cdr:x>0.98294</cdr:x>
      <cdr:y>0.12132</cdr:y>
    </cdr:to>
    <cdr:sp macro="" textlink="">
      <cdr:nvSpPr>
        <cdr:cNvPr id="2" name="TextBox 1">
          <a:extLst xmlns:a="http://schemas.openxmlformats.org/drawingml/2006/main">
            <a:ext uri="{FF2B5EF4-FFF2-40B4-BE49-F238E27FC236}">
              <a16:creationId xmlns:a16="http://schemas.microsoft.com/office/drawing/2014/main" id="{DB27C9DD-65C7-897D-78C8-88F4C31AA674}"/>
            </a:ext>
          </a:extLst>
        </cdr:cNvPr>
        <cdr:cNvSpPr txBox="1"/>
      </cdr:nvSpPr>
      <cdr:spPr>
        <a:xfrm xmlns:a="http://schemas.openxmlformats.org/drawingml/2006/main">
          <a:off x="6562726" y="65859"/>
          <a:ext cx="1219200" cy="4008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t>(Gaps</a:t>
          </a:r>
          <a:r>
            <a:rPr lang="en-GB" sz="900" baseline="0"/>
            <a:t> in data show non-operating days)</a:t>
          </a:r>
          <a:endParaRPr lang="en-GB" sz="9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l kosnik" refreshedDate="44949.909445833335" createdVersion="8" refreshedVersion="8" minRefreshableVersion="3" recordCount="366" xr:uid="{D56AE956-D3FB-48D8-A4CD-AF8355614412}">
  <cacheSource type="worksheet">
    <worksheetSource ref="A1:N367" sheet="data1"/>
  </cacheSource>
  <cacheFields count="14">
    <cacheField name="Observation" numFmtId="0">
      <sharedItems containsSemiMixedTypes="0" containsString="0" containsNumber="1" containsInteger="1" minValue="1" maxValue="366"/>
    </cacheField>
    <cacheField name="Date" numFmtId="14">
      <sharedItems containsSemiMixedTypes="0" containsNonDate="0" containsDate="1" containsString="0" minDate="2017-12-01T00:00:00" maxDate="2018-12-01T00:00:00" count="365">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sharedItems>
    </cacheField>
    <cacheField name="Season" numFmtId="0">
      <sharedItems count="4">
        <s v="Winter"/>
        <s v="Spring"/>
        <s v="Summer"/>
        <s v="Autumn"/>
      </sharedItems>
    </cacheField>
    <cacheField name="Holiday" numFmtId="0">
      <sharedItems count="2">
        <s v="No Holiday"/>
        <s v="Holiday"/>
      </sharedItems>
    </cacheField>
    <cacheField name="Operating Day" numFmtId="0">
      <sharedItems/>
    </cacheField>
    <cacheField name="Total Rentals" numFmtId="1">
      <sharedItems containsString="0" containsBlank="1" containsNumber="1" containsInteger="1" minValue="977" maxValue="36149" count="353">
        <n v="9539"/>
        <n v="8523"/>
        <n v="7222"/>
        <n v="8729"/>
        <n v="8307"/>
        <n v="6669"/>
        <n v="8549"/>
        <n v="8032"/>
        <n v="7233"/>
        <n v="3453"/>
        <n v="5848"/>
        <n v="5496"/>
        <n v="6019"/>
        <n v="6398"/>
        <n v="7198"/>
        <n v="4632"/>
        <n v="3776"/>
        <n v="2620"/>
        <n v="4334"/>
        <n v="4568"/>
        <n v="5734"/>
        <n v="7184"/>
        <n v="6624"/>
        <n v="2014"/>
        <n v="3966"/>
        <n v="5605"/>
        <n v="5351"/>
        <n v="6594"/>
        <n v="7663"/>
        <n v="4027"/>
        <n v="3423"/>
        <n v="4290"/>
        <n v="6446"/>
        <n v="6512"/>
        <n v="6453"/>
        <n v="6967"/>
        <n v="5180"/>
        <n v="4714"/>
        <n v="5711"/>
        <n v="5500"/>
        <n v="4161"/>
        <n v="4017"/>
        <n v="4111"/>
        <n v="3503"/>
        <n v="4225"/>
        <n v="6334"/>
        <n v="6705"/>
        <n v="6292"/>
        <n v="6383"/>
        <n v="7472"/>
        <n v="5576"/>
        <n v="4973"/>
        <n v="4503"/>
        <n v="3981"/>
        <n v="3154"/>
        <n v="3113"/>
        <n v="2931"/>
        <n v="2693"/>
        <n v="2828"/>
        <n v="4088"/>
        <n v="3360"/>
        <n v="3830"/>
        <n v="5377"/>
        <n v="5954"/>
        <n v="3290"/>
        <n v="2487"/>
        <n v="3932"/>
        <n v="3988"/>
        <n v="4697"/>
        <n v="5613"/>
        <n v="6268"/>
        <n v="4425"/>
        <n v="2850"/>
        <n v="4813"/>
        <n v="6267"/>
        <n v="6771"/>
        <n v="3484"/>
        <n v="2593"/>
        <n v="3118"/>
        <n v="4562"/>
        <n v="7604"/>
        <n v="7955"/>
        <n v="7491"/>
        <n v="7712"/>
        <n v="5797"/>
        <n v="6356"/>
        <n v="6500"/>
        <n v="9247"/>
        <n v="8862"/>
        <n v="3820"/>
        <n v="5132"/>
        <n v="8433"/>
        <n v="12191"/>
        <n v="4688"/>
        <n v="8597"/>
        <n v="12003"/>
        <n v="11170"/>
        <n v="7711"/>
        <n v="11642"/>
        <n v="11064"/>
        <n v="11843"/>
        <n v="13339"/>
        <n v="15963"/>
        <n v="19180"/>
        <n v="6227"/>
        <n v="15277"/>
        <n v="15389"/>
        <n v="9609"/>
        <n v="8968"/>
        <n v="11515"/>
        <n v="7384"/>
        <n v="14007"/>
        <n v="14969"/>
        <n v="12243"/>
        <n v="10963"/>
        <n v="13084"/>
        <n v="14710"/>
        <n v="17295"/>
        <n v="17450"/>
        <n v="19301"/>
        <n v="19247"/>
        <n v="17388"/>
        <n v="21585"/>
        <n v="21015"/>
        <n v="19995"/>
        <n v="2596"/>
        <n v="11520"/>
        <n v="11159"/>
        <n v="6666"/>
        <n v="19082"/>
        <n v="16696"/>
        <m/>
        <n v="22729"/>
        <n v="23240"/>
        <n v="6980"/>
        <n v="10207"/>
        <n v="23198"/>
        <n v="22234"/>
        <n v="21670"/>
        <n v="17730"/>
        <n v="22593"/>
        <n v="24404"/>
        <n v="6852"/>
        <n v="977"/>
        <n v="20144"/>
        <n v="26285"/>
        <n v="25670"/>
        <n v="25861"/>
        <n v="24940"/>
        <n v="25349"/>
        <n v="25462"/>
        <n v="26820"/>
        <n v="7448"/>
        <n v="21027"/>
        <n v="26670"/>
        <n v="25353"/>
        <n v="14556"/>
        <n v="28140"/>
        <n v="26429"/>
        <n v="28895"/>
        <n v="26649"/>
        <n v="3034"/>
        <n v="25913"/>
        <n v="27793"/>
        <n v="28478"/>
        <n v="6416"/>
        <n v="3521"/>
        <n v="16087"/>
        <n v="30994"/>
        <n v="27829"/>
        <n v="31236"/>
        <n v="13790"/>
        <n v="27674"/>
        <n v="28781"/>
        <n v="29057"/>
        <n v="28079"/>
        <n v="28991"/>
        <n v="31020"/>
        <n v="24355"/>
        <n v="30372"/>
        <n v="31681"/>
        <n v="31928"/>
        <n v="30693"/>
        <n v="29761"/>
        <n v="33257"/>
        <n v="33424"/>
        <n v="30498"/>
        <n v="32002"/>
        <n v="35103"/>
        <n v="25911"/>
        <n v="29342"/>
        <n v="24832"/>
        <n v="34544"/>
        <n v="36149"/>
        <n v="23818"/>
        <n v="33492"/>
        <n v="34360"/>
        <n v="32487"/>
        <n v="27541"/>
        <n v="35349"/>
        <n v="34639"/>
        <n v="34621"/>
        <n v="34079"/>
        <n v="31949"/>
        <n v="27028"/>
        <n v="32702"/>
        <n v="5200"/>
        <n v="29755"/>
        <n v="21647"/>
        <n v="30297"/>
        <n v="20479"/>
        <n v="3231"/>
        <n v="5240"/>
        <n v="29293"/>
        <n v="31781"/>
        <n v="28182"/>
        <n v="33676"/>
        <n v="31076"/>
        <n v="30080"/>
        <n v="6191"/>
        <n v="20641"/>
        <n v="24135"/>
        <n v="29428"/>
        <n v="30088"/>
        <n v="25814"/>
        <n v="22790"/>
        <n v="26823"/>
        <n v="28435"/>
        <n v="27896"/>
        <n v="27820"/>
        <n v="26699"/>
        <n v="21283"/>
        <n v="18563"/>
        <n v="24890"/>
        <n v="24635"/>
        <n v="25918"/>
        <n v="24915"/>
        <n v="23275"/>
        <n v="16880"/>
        <n v="18190"/>
        <n v="23695"/>
        <n v="22897"/>
        <n v="20712"/>
        <n v="20693"/>
        <n v="20794"/>
        <n v="18363"/>
        <n v="17415"/>
        <n v="19171"/>
        <n v="23806"/>
        <n v="23880"/>
        <n v="21644"/>
        <n v="23833"/>
        <n v="20009"/>
        <n v="17498"/>
        <n v="22827"/>
        <n v="23836"/>
        <n v="18565"/>
        <n v="25329"/>
        <n v="28820"/>
        <n v="26398"/>
        <n v="24547"/>
        <n v="26827"/>
        <n v="25133"/>
        <n v="26072"/>
        <n v="15958"/>
        <n v="11658"/>
        <n v="27302"/>
        <n v="19310"/>
        <n v="14435"/>
        <n v="9092"/>
        <n v="9184"/>
        <n v="20959"/>
        <n v="27817"/>
        <n v="26010"/>
        <n v="26881"/>
        <n v="10802"/>
        <n v="29529"/>
        <n v="31114"/>
        <n v="27838"/>
        <n v="30381"/>
        <n v="29813"/>
        <n v="28354"/>
        <n v="30781"/>
        <n v="31694"/>
        <n v="31809"/>
        <n v="30991"/>
        <n v="28199"/>
        <n v="25079"/>
        <n v="14178"/>
        <n v="30290"/>
        <n v="14282"/>
        <n v="18266"/>
        <n v="20060"/>
        <n v="17259"/>
        <n v="23350"/>
        <n v="28018"/>
        <n v="30789"/>
        <n v="31447"/>
        <n v="27909"/>
        <n v="30349"/>
        <n v="4522"/>
        <n v="16037"/>
        <n v="27614"/>
        <n v="29362"/>
        <n v="24410"/>
        <n v="24526"/>
        <n v="26237"/>
        <n v="25542"/>
        <n v="24349"/>
        <n v="26198"/>
        <n v="26956"/>
        <n v="26502"/>
        <n v="26504"/>
        <n v="27437"/>
        <n v="25355"/>
        <n v="23906"/>
        <n v="26075"/>
        <n v="21601"/>
        <n v="26418"/>
        <n v="27258"/>
        <n v="13377"/>
        <n v="18398"/>
        <n v="11589"/>
        <n v="19877"/>
        <n v="20822"/>
        <n v="21545"/>
        <n v="22964"/>
        <n v="24077"/>
        <n v="20471"/>
        <n v="23472"/>
        <n v="16525"/>
        <n v="1721"/>
        <n v="18473"/>
        <n v="13138"/>
        <n v="21003"/>
        <n v="21992"/>
        <n v="22707"/>
        <n v="21502"/>
        <n v="20660"/>
        <n v="15689"/>
        <n v="14319"/>
        <n v="18956"/>
        <n v="19127"/>
        <n v="15732"/>
        <n v="16496"/>
        <n v="16314"/>
        <n v="6477"/>
        <n v="11212"/>
        <n v="17162"/>
        <n v="16282"/>
        <n v="16524"/>
        <n v="16423"/>
        <n v="16297"/>
      </sharedItems>
    </cacheField>
    <cacheField name="Avg. Temp" numFmtId="0">
      <sharedItems containsSemiMixedTypes="0" containsString="0" containsNumber="1" minValue="-14.74" maxValue="33.74"/>
    </cacheField>
    <cacheField name="Avg. Humidity" numFmtId="0">
      <sharedItems containsSemiMixedTypes="0" containsString="0" containsNumber="1" minValue="22.25" maxValue="95.88"/>
    </cacheField>
    <cacheField name="Avg. Wind" numFmtId="0">
      <sharedItems containsSemiMixedTypes="0" containsString="0" containsNumber="1" minValue="0.66" maxValue="4"/>
    </cacheField>
    <cacheField name="Avg. Visibility" numFmtId="0">
      <sharedItems containsSemiMixedTypes="0" containsString="0" containsNumber="1" minValue="214.29" maxValue="2000"/>
    </cacheField>
    <cacheField name="Avg. Dew Point Temp" numFmtId="0">
      <sharedItems containsSemiMixedTypes="0" containsString="0" containsNumber="1" minValue="-27.75" maxValue="25.04"/>
    </cacheField>
    <cacheField name="Avg. Solar Radiation" numFmtId="0">
      <sharedItems containsSemiMixedTypes="0" containsString="0" containsNumber="1" minValue="0" maxValue="1.22"/>
    </cacheField>
    <cacheField name="Total Rain" numFmtId="0">
      <sharedItems containsSemiMixedTypes="0" containsString="0" containsNumber="1" minValue="0" maxValue="95.5"/>
    </cacheField>
    <cacheField name="Total Snow" numFmtId="0">
      <sharedItems containsSemiMixedTypes="0" containsString="0" containsNumber="1" minValue="0" maxValue="78.7"/>
    </cacheField>
  </cacheFields>
  <extLst>
    <ext xmlns:x14="http://schemas.microsoft.com/office/spreadsheetml/2009/9/main" uri="{725AE2AE-9491-48be-B2B4-4EB974FC3084}">
      <x14:pivotCacheDefinition pivotCacheId="187384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s v="Yes"/>
    <x v="0"/>
    <n v="-2.4500000000000002"/>
    <n v="45.88"/>
    <n v="1.54"/>
    <n v="1870.75"/>
    <n v="-13.55"/>
    <n v="0.25"/>
    <n v="0"/>
    <n v="0"/>
  </r>
  <r>
    <n v="2"/>
    <x v="1"/>
    <x v="0"/>
    <x v="0"/>
    <s v="Yes"/>
    <x v="1"/>
    <n v="1.33"/>
    <n v="61.96"/>
    <n v="1.71"/>
    <n v="1471.08"/>
    <n v="-5.72"/>
    <n v="0.26"/>
    <n v="0"/>
    <n v="0"/>
  </r>
  <r>
    <n v="3"/>
    <x v="2"/>
    <x v="0"/>
    <x v="0"/>
    <s v="Yes"/>
    <x v="2"/>
    <n v="4.88"/>
    <n v="81.540000000000006"/>
    <n v="1.61"/>
    <n v="455.75"/>
    <n v="1.88"/>
    <n v="0.13"/>
    <n v="4"/>
    <n v="0"/>
  </r>
  <r>
    <n v="4"/>
    <x v="3"/>
    <x v="0"/>
    <x v="0"/>
    <s v="Yes"/>
    <x v="3"/>
    <n v="-0.3"/>
    <n v="52.5"/>
    <n v="3.45"/>
    <n v="1362.83"/>
    <n v="-9.93"/>
    <n v="0.28000000000000003"/>
    <n v="0.1"/>
    <n v="0"/>
  </r>
  <r>
    <n v="5"/>
    <x v="4"/>
    <x v="0"/>
    <x v="0"/>
    <s v="Yes"/>
    <x v="4"/>
    <n v="-4.46"/>
    <n v="36.42"/>
    <n v="1.1100000000000001"/>
    <n v="1959.46"/>
    <n v="-17.43"/>
    <n v="0.04"/>
    <n v="0"/>
    <n v="0"/>
  </r>
  <r>
    <n v="6"/>
    <x v="5"/>
    <x v="0"/>
    <x v="0"/>
    <s v="Yes"/>
    <x v="5"/>
    <n v="0.05"/>
    <n v="70.790000000000006"/>
    <n v="0.7"/>
    <n v="1186.8800000000001"/>
    <n v="-5.19"/>
    <n v="0.26"/>
    <n v="1.3"/>
    <n v="8.6"/>
  </r>
  <r>
    <n v="7"/>
    <x v="6"/>
    <x v="0"/>
    <x v="0"/>
    <s v="Yes"/>
    <x v="6"/>
    <n v="1.0900000000000001"/>
    <n v="67.540000000000006"/>
    <n v="1.69"/>
    <n v="949.42"/>
    <n v="-5.01"/>
    <n v="0.24"/>
    <n v="0"/>
    <n v="10.4"/>
  </r>
  <r>
    <n v="8"/>
    <x v="7"/>
    <x v="0"/>
    <x v="0"/>
    <s v="Yes"/>
    <x v="7"/>
    <n v="-3.83"/>
    <n v="41.75"/>
    <n v="1.85"/>
    <n v="1872.21"/>
    <n v="-15.37"/>
    <n v="0.28999999999999998"/>
    <n v="0"/>
    <n v="0"/>
  </r>
  <r>
    <n v="9"/>
    <x v="8"/>
    <x v="0"/>
    <x v="0"/>
    <s v="Yes"/>
    <x v="8"/>
    <n v="-0.85"/>
    <n v="46"/>
    <n v="1.08"/>
    <n v="1860.96"/>
    <n v="-11.23"/>
    <n v="0.26"/>
    <n v="0"/>
    <n v="0"/>
  </r>
  <r>
    <n v="10"/>
    <x v="9"/>
    <x v="0"/>
    <x v="0"/>
    <s v="Yes"/>
    <x v="9"/>
    <n v="1.19"/>
    <n v="69.709999999999994"/>
    <n v="2"/>
    <n v="1043.04"/>
    <n v="-4.03"/>
    <n v="0.09"/>
    <n v="4.0999999999999996"/>
    <n v="32.5"/>
  </r>
  <r>
    <n v="11"/>
    <x v="10"/>
    <x v="0"/>
    <x v="0"/>
    <s v="Yes"/>
    <x v="10"/>
    <n v="-6.27"/>
    <n v="39.380000000000003"/>
    <n v="3.61"/>
    <n v="1991.17"/>
    <n v="-17.98"/>
    <n v="0.28999999999999998"/>
    <n v="0"/>
    <n v="0"/>
  </r>
  <r>
    <n v="12"/>
    <x v="11"/>
    <x v="0"/>
    <x v="0"/>
    <s v="Yes"/>
    <x v="11"/>
    <n v="-9.4700000000000006"/>
    <n v="42.79"/>
    <n v="2.0299999999999998"/>
    <n v="1966.79"/>
    <n v="-19.940000000000001"/>
    <n v="0.28000000000000003"/>
    <n v="0"/>
    <n v="0"/>
  </r>
  <r>
    <n v="13"/>
    <x v="12"/>
    <x v="0"/>
    <x v="0"/>
    <s v="Yes"/>
    <x v="12"/>
    <n v="-8.6199999999999992"/>
    <n v="41.17"/>
    <n v="1.79"/>
    <n v="1954.13"/>
    <n v="-19.88"/>
    <n v="0.28000000000000003"/>
    <n v="0"/>
    <n v="0"/>
  </r>
  <r>
    <n v="14"/>
    <x v="13"/>
    <x v="0"/>
    <x v="0"/>
    <s v="Yes"/>
    <x v="13"/>
    <n v="-6.87"/>
    <n v="42.54"/>
    <n v="0.89"/>
    <n v="1617.17"/>
    <n v="-17.760000000000002"/>
    <n v="0.15"/>
    <n v="0"/>
    <n v="0"/>
  </r>
  <r>
    <n v="15"/>
    <x v="14"/>
    <x v="0"/>
    <x v="0"/>
    <s v="Yes"/>
    <x v="14"/>
    <n v="-3.28"/>
    <n v="50.46"/>
    <n v="0.98"/>
    <n v="1000.21"/>
    <n v="-12.33"/>
    <n v="0.1"/>
    <n v="0"/>
    <n v="0"/>
  </r>
  <r>
    <n v="16"/>
    <x v="15"/>
    <x v="0"/>
    <x v="0"/>
    <s v="Yes"/>
    <x v="15"/>
    <n v="-5.29"/>
    <n v="46.33"/>
    <n v="2.95"/>
    <n v="1514.88"/>
    <n v="-16.02"/>
    <n v="0.27"/>
    <n v="0"/>
    <n v="0"/>
  </r>
  <r>
    <n v="17"/>
    <x v="16"/>
    <x v="0"/>
    <x v="0"/>
    <s v="Yes"/>
    <x v="16"/>
    <n v="-7.01"/>
    <n v="37.630000000000003"/>
    <n v="1.9"/>
    <n v="1989.63"/>
    <n v="-19.28"/>
    <n v="0.27"/>
    <n v="0"/>
    <n v="0"/>
  </r>
  <r>
    <n v="18"/>
    <x v="17"/>
    <x v="0"/>
    <x v="0"/>
    <s v="Yes"/>
    <x v="17"/>
    <n v="-1.97"/>
    <n v="77"/>
    <n v="1.18"/>
    <n v="629.5"/>
    <n v="-5.55"/>
    <n v="7.0000000000000007E-2"/>
    <n v="3.4"/>
    <n v="59.7"/>
  </r>
  <r>
    <n v="19"/>
    <x v="18"/>
    <x v="0"/>
    <x v="0"/>
    <s v="Yes"/>
    <x v="18"/>
    <n v="-3.53"/>
    <n v="50.21"/>
    <n v="2.17"/>
    <n v="1661.21"/>
    <n v="-13.02"/>
    <n v="0.28000000000000003"/>
    <n v="0"/>
    <n v="55.6"/>
  </r>
  <r>
    <n v="20"/>
    <x v="19"/>
    <x v="0"/>
    <x v="0"/>
    <s v="Yes"/>
    <x v="19"/>
    <n v="-4.29"/>
    <n v="65.5"/>
    <n v="1.1100000000000001"/>
    <n v="1404.71"/>
    <n v="-10"/>
    <n v="0.14000000000000001"/>
    <n v="0.2"/>
    <n v="48.3"/>
  </r>
  <r>
    <n v="21"/>
    <x v="20"/>
    <x v="0"/>
    <x v="0"/>
    <s v="Yes"/>
    <x v="20"/>
    <n v="-0.85"/>
    <n v="73.08"/>
    <n v="1.22"/>
    <n v="730.38"/>
    <n v="-5.48"/>
    <n v="0.26"/>
    <n v="0"/>
    <n v="38.9"/>
  </r>
  <r>
    <n v="22"/>
    <x v="21"/>
    <x v="0"/>
    <x v="1"/>
    <s v="Yes"/>
    <x v="21"/>
    <n v="2.76"/>
    <n v="67.08"/>
    <n v="1"/>
    <n v="802.75"/>
    <n v="-2.84"/>
    <n v="0.14000000000000001"/>
    <n v="0"/>
    <n v="7.7"/>
  </r>
  <r>
    <n v="23"/>
    <x v="22"/>
    <x v="0"/>
    <x v="0"/>
    <s v="Yes"/>
    <x v="22"/>
    <n v="6.13"/>
    <n v="75.58"/>
    <n v="1.1599999999999999"/>
    <n v="338.63"/>
    <n v="2.02"/>
    <n v="0.14000000000000001"/>
    <n v="0"/>
    <n v="0"/>
  </r>
  <r>
    <n v="24"/>
    <x v="23"/>
    <x v="0"/>
    <x v="1"/>
    <s v="Yes"/>
    <x v="23"/>
    <n v="3.46"/>
    <n v="82.79"/>
    <n v="1.83"/>
    <n v="359.33"/>
    <n v="0.71"/>
    <n v="0.03"/>
    <n v="20"/>
    <n v="0"/>
  </r>
  <r>
    <n v="25"/>
    <x v="24"/>
    <x v="0"/>
    <x v="1"/>
    <s v="Yes"/>
    <x v="24"/>
    <n v="-2.09"/>
    <n v="43.38"/>
    <n v="2.7"/>
    <n v="1916.92"/>
    <n v="-13.22"/>
    <n v="0.28000000000000003"/>
    <n v="0"/>
    <n v="0"/>
  </r>
  <r>
    <n v="26"/>
    <x v="25"/>
    <x v="0"/>
    <x v="0"/>
    <s v="Yes"/>
    <x v="25"/>
    <n v="-3.27"/>
    <n v="43.58"/>
    <n v="2.86"/>
    <n v="1960.29"/>
    <n v="-15.37"/>
    <n v="0.28000000000000003"/>
    <n v="0"/>
    <n v="0"/>
  </r>
  <r>
    <n v="27"/>
    <x v="26"/>
    <x v="0"/>
    <x v="0"/>
    <s v="Yes"/>
    <x v="26"/>
    <n v="-7"/>
    <n v="31.13"/>
    <n v="1.95"/>
    <n v="1996.5"/>
    <n v="-21.57"/>
    <n v="0.28000000000000003"/>
    <n v="0"/>
    <n v="0"/>
  </r>
  <r>
    <n v="28"/>
    <x v="27"/>
    <x v="0"/>
    <x v="0"/>
    <s v="Yes"/>
    <x v="27"/>
    <n v="-2.58"/>
    <n v="45.04"/>
    <n v="1.35"/>
    <n v="1574.79"/>
    <n v="-13.3"/>
    <n v="0.16"/>
    <n v="0"/>
    <n v="0"/>
  </r>
  <r>
    <n v="29"/>
    <x v="28"/>
    <x v="0"/>
    <x v="0"/>
    <s v="Yes"/>
    <x v="28"/>
    <n v="2.2000000000000002"/>
    <n v="65"/>
    <n v="1.18"/>
    <n v="523.63"/>
    <n v="-3.75"/>
    <n v="0.16"/>
    <n v="0"/>
    <n v="0"/>
  </r>
  <r>
    <n v="30"/>
    <x v="29"/>
    <x v="0"/>
    <x v="0"/>
    <s v="Yes"/>
    <x v="29"/>
    <n v="1.31"/>
    <n v="77.75"/>
    <n v="0.94"/>
    <n v="214.29"/>
    <n v="-2.25"/>
    <n v="0.09"/>
    <n v="0.5"/>
    <n v="0"/>
  </r>
  <r>
    <n v="31"/>
    <x v="30"/>
    <x v="0"/>
    <x v="1"/>
    <s v="Yes"/>
    <x v="30"/>
    <n v="0.09"/>
    <n v="59.08"/>
    <n v="2.3199999999999998"/>
    <n v="1120.29"/>
    <n v="-8.33"/>
    <n v="0.28000000000000003"/>
    <n v="1.2"/>
    <n v="14.3"/>
  </r>
  <r>
    <n v="32"/>
    <x v="31"/>
    <x v="0"/>
    <x v="1"/>
    <s v="Yes"/>
    <x v="31"/>
    <n v="-1.28"/>
    <n v="39.33"/>
    <n v="1.45"/>
    <n v="1894.83"/>
    <n v="-13.87"/>
    <n v="0.26"/>
    <n v="0"/>
    <n v="0"/>
  </r>
  <r>
    <n v="33"/>
    <x v="32"/>
    <x v="0"/>
    <x v="0"/>
    <s v="Yes"/>
    <x v="32"/>
    <n v="-1.49"/>
    <n v="43.71"/>
    <n v="1.77"/>
    <n v="1712.21"/>
    <n v="-13.35"/>
    <n v="0.22"/>
    <n v="0"/>
    <n v="0"/>
  </r>
  <r>
    <n v="34"/>
    <x v="33"/>
    <x v="0"/>
    <x v="0"/>
    <s v="Yes"/>
    <x v="33"/>
    <n v="-4.4800000000000004"/>
    <n v="41.17"/>
    <n v="2.13"/>
    <n v="1945.17"/>
    <n v="-15.88"/>
    <n v="0.27"/>
    <n v="0"/>
    <n v="0"/>
  </r>
  <r>
    <n v="35"/>
    <x v="34"/>
    <x v="0"/>
    <x v="0"/>
    <s v="Yes"/>
    <x v="34"/>
    <n v="-4.8"/>
    <n v="44.13"/>
    <n v="1.38"/>
    <n v="1825.33"/>
    <n v="-15.38"/>
    <n v="0.2"/>
    <n v="0"/>
    <n v="0"/>
  </r>
  <r>
    <n v="36"/>
    <x v="35"/>
    <x v="0"/>
    <x v="0"/>
    <s v="Yes"/>
    <x v="35"/>
    <n v="-2.91"/>
    <n v="48.54"/>
    <n v="1.66"/>
    <n v="1434.21"/>
    <n v="-12.34"/>
    <n v="0.25"/>
    <n v="0"/>
    <n v="0"/>
  </r>
  <r>
    <n v="37"/>
    <x v="36"/>
    <x v="0"/>
    <x v="0"/>
    <s v="Yes"/>
    <x v="36"/>
    <n v="-2.75"/>
    <n v="45.67"/>
    <n v="1.48"/>
    <n v="1561.83"/>
    <n v="-13.38"/>
    <n v="0.28000000000000003"/>
    <n v="0"/>
    <n v="0"/>
  </r>
  <r>
    <n v="38"/>
    <x v="37"/>
    <x v="0"/>
    <x v="0"/>
    <s v="Yes"/>
    <x v="37"/>
    <n v="-1.21"/>
    <n v="43.08"/>
    <n v="0.81"/>
    <n v="1451.88"/>
    <n v="-12.48"/>
    <n v="0.16"/>
    <n v="0"/>
    <n v="0"/>
  </r>
  <r>
    <n v="39"/>
    <x v="38"/>
    <x v="0"/>
    <x v="0"/>
    <s v="Yes"/>
    <x v="38"/>
    <n v="1.42"/>
    <n v="49.33"/>
    <n v="1.75"/>
    <n v="1148.96"/>
    <n v="-8.6"/>
    <n v="0.1"/>
    <n v="0.9"/>
    <n v="4.5"/>
  </r>
  <r>
    <n v="40"/>
    <x v="39"/>
    <x v="0"/>
    <x v="0"/>
    <s v="Yes"/>
    <x v="39"/>
    <n v="-3.87"/>
    <n v="58.58"/>
    <n v="2.98"/>
    <n v="1495.96"/>
    <n v="-10.89"/>
    <n v="0.23"/>
    <n v="0"/>
    <n v="10.8"/>
  </r>
  <r>
    <n v="41"/>
    <x v="40"/>
    <x v="0"/>
    <x v="0"/>
    <s v="Yes"/>
    <x v="40"/>
    <n v="-7.03"/>
    <n v="54.21"/>
    <n v="2.93"/>
    <n v="1860.63"/>
    <n v="-15.21"/>
    <n v="0.28999999999999998"/>
    <n v="0.8"/>
    <n v="10.199999999999999"/>
  </r>
  <r>
    <n v="42"/>
    <x v="41"/>
    <x v="0"/>
    <x v="0"/>
    <s v="Yes"/>
    <x v="41"/>
    <n v="-10.77"/>
    <n v="49.88"/>
    <n v="2.64"/>
    <n v="1828.13"/>
    <n v="-19.32"/>
    <n v="0.28000000000000003"/>
    <n v="0"/>
    <n v="0"/>
  </r>
  <r>
    <n v="43"/>
    <x v="42"/>
    <x v="0"/>
    <x v="0"/>
    <s v="Yes"/>
    <x v="42"/>
    <n v="-10.7"/>
    <n v="36.17"/>
    <n v="1.77"/>
    <n v="1981.92"/>
    <n v="-23.17"/>
    <n v="0.3"/>
    <n v="0"/>
    <n v="0"/>
  </r>
  <r>
    <n v="44"/>
    <x v="43"/>
    <x v="0"/>
    <x v="0"/>
    <s v="Yes"/>
    <x v="43"/>
    <n v="-4.5599999999999996"/>
    <n v="63.79"/>
    <n v="0.85"/>
    <n v="1082.75"/>
    <n v="-10.59"/>
    <n v="0.12"/>
    <n v="0.4"/>
    <n v="2.2000000000000002"/>
  </r>
  <r>
    <n v="45"/>
    <x v="44"/>
    <x v="0"/>
    <x v="0"/>
    <s v="Yes"/>
    <x v="44"/>
    <n v="0.02"/>
    <n v="65.75"/>
    <n v="1.06"/>
    <n v="667.88"/>
    <n v="-5.86"/>
    <n v="0.19"/>
    <n v="0"/>
    <n v="0"/>
  </r>
  <r>
    <n v="46"/>
    <x v="45"/>
    <x v="0"/>
    <x v="0"/>
    <s v="Yes"/>
    <x v="45"/>
    <n v="4.71"/>
    <n v="63.92"/>
    <n v="1.48"/>
    <n v="639.58000000000004"/>
    <n v="-1.91"/>
    <n v="0.19"/>
    <n v="0.2"/>
    <n v="0"/>
  </r>
  <r>
    <n v="47"/>
    <x v="46"/>
    <x v="0"/>
    <x v="0"/>
    <s v="Yes"/>
    <x v="46"/>
    <n v="3.28"/>
    <n v="59.46"/>
    <n v="0.76"/>
    <n v="428.54"/>
    <n v="-3.98"/>
    <n v="0.1"/>
    <n v="0"/>
    <n v="0"/>
  </r>
  <r>
    <n v="48"/>
    <x v="47"/>
    <x v="0"/>
    <x v="0"/>
    <s v="Yes"/>
    <x v="47"/>
    <n v="4.55"/>
    <n v="63.42"/>
    <n v="1.23"/>
    <n v="350.13"/>
    <n v="-1.88"/>
    <n v="0.17"/>
    <n v="0"/>
    <n v="0"/>
  </r>
  <r>
    <n v="49"/>
    <x v="48"/>
    <x v="0"/>
    <x v="0"/>
    <s v="Yes"/>
    <x v="48"/>
    <n v="2.3199999999999998"/>
    <n v="62.54"/>
    <n v="1.88"/>
    <n v="586.29"/>
    <n v="-4.5999999999999996"/>
    <n v="0.13"/>
    <n v="0"/>
    <n v="0"/>
  </r>
  <r>
    <n v="50"/>
    <x v="49"/>
    <x v="0"/>
    <x v="0"/>
    <s v="Yes"/>
    <x v="49"/>
    <n v="1.05"/>
    <n v="40.880000000000003"/>
    <n v="1.65"/>
    <n v="1484.38"/>
    <n v="-11.28"/>
    <n v="0.27"/>
    <n v="0"/>
    <n v="0"/>
  </r>
  <r>
    <n v="51"/>
    <x v="50"/>
    <x v="0"/>
    <x v="0"/>
    <s v="Yes"/>
    <x v="50"/>
    <n v="2.2599999999999998"/>
    <n v="58.46"/>
    <n v="1.57"/>
    <n v="791.96"/>
    <n v="-5.0999999999999996"/>
    <n v="0.19"/>
    <n v="0"/>
    <n v="0"/>
  </r>
  <r>
    <n v="52"/>
    <x v="51"/>
    <x v="0"/>
    <x v="0"/>
    <s v="Yes"/>
    <x v="51"/>
    <n v="0.39"/>
    <n v="37.58"/>
    <n v="1.1299999999999999"/>
    <n v="1375.75"/>
    <n v="-13.47"/>
    <n v="0.25"/>
    <n v="0"/>
    <n v="0"/>
  </r>
  <r>
    <n v="53"/>
    <x v="52"/>
    <x v="0"/>
    <x v="0"/>
    <s v="Yes"/>
    <x v="52"/>
    <n v="0.44"/>
    <n v="53.21"/>
    <n v="1.41"/>
    <n v="1294.5"/>
    <n v="-9.35"/>
    <n v="0.08"/>
    <n v="3.3"/>
    <n v="6.2"/>
  </r>
  <r>
    <n v="54"/>
    <x v="53"/>
    <x v="0"/>
    <x v="0"/>
    <s v="Yes"/>
    <x v="53"/>
    <n v="-10.92"/>
    <n v="44.54"/>
    <n v="3.68"/>
    <n v="1912.04"/>
    <n v="-21.07"/>
    <n v="0.32"/>
    <n v="0"/>
    <n v="23.3"/>
  </r>
  <r>
    <n v="55"/>
    <x v="54"/>
    <x v="0"/>
    <x v="0"/>
    <s v="Yes"/>
    <x v="54"/>
    <n v="-14.08"/>
    <n v="30.79"/>
    <n v="3.4"/>
    <n v="1986.08"/>
    <n v="-27.75"/>
    <n v="0.32"/>
    <n v="0"/>
    <n v="19.7"/>
  </r>
  <r>
    <n v="56"/>
    <x v="55"/>
    <x v="0"/>
    <x v="0"/>
    <s v="Yes"/>
    <x v="55"/>
    <n v="-14"/>
    <n v="33.42"/>
    <n v="2.87"/>
    <n v="1996.5"/>
    <n v="-26.77"/>
    <n v="0.3"/>
    <n v="0"/>
    <n v="14.2"/>
  </r>
  <r>
    <n v="57"/>
    <x v="56"/>
    <x v="0"/>
    <x v="0"/>
    <s v="Yes"/>
    <x v="56"/>
    <n v="-14.74"/>
    <n v="33.92"/>
    <n v="2.52"/>
    <n v="1890.96"/>
    <n v="-27.23"/>
    <n v="0.28000000000000003"/>
    <n v="0"/>
    <n v="10.3"/>
  </r>
  <r>
    <n v="58"/>
    <x v="57"/>
    <x v="0"/>
    <x v="0"/>
    <s v="Yes"/>
    <x v="57"/>
    <n v="-10.43"/>
    <n v="38.29"/>
    <n v="1.53"/>
    <n v="1794.54"/>
    <n v="-22.3"/>
    <n v="0.31"/>
    <n v="0"/>
    <n v="4.4000000000000004"/>
  </r>
  <r>
    <n v="59"/>
    <x v="58"/>
    <x v="0"/>
    <x v="0"/>
    <s v="Yes"/>
    <x v="58"/>
    <n v="-6.03"/>
    <n v="34.71"/>
    <n v="2.63"/>
    <n v="1928.17"/>
    <n v="-19.45"/>
    <n v="0.27"/>
    <n v="0"/>
    <n v="0"/>
  </r>
  <r>
    <n v="60"/>
    <x v="59"/>
    <x v="0"/>
    <x v="0"/>
    <s v="Yes"/>
    <x v="59"/>
    <n v="-8.5299999999999994"/>
    <n v="36.25"/>
    <n v="2.72"/>
    <n v="1946.08"/>
    <n v="-21.15"/>
    <n v="0.32"/>
    <n v="0"/>
    <n v="0"/>
  </r>
  <r>
    <n v="61"/>
    <x v="60"/>
    <x v="0"/>
    <x v="0"/>
    <s v="Yes"/>
    <x v="60"/>
    <n v="-5.91"/>
    <n v="58.67"/>
    <n v="1.25"/>
    <n v="1413.63"/>
    <n v="-13.34"/>
    <n v="0.23"/>
    <n v="2.9"/>
    <n v="19.399999999999999"/>
  </r>
  <r>
    <n v="62"/>
    <x v="61"/>
    <x v="0"/>
    <x v="0"/>
    <s v="Yes"/>
    <x v="61"/>
    <n v="-2.19"/>
    <n v="57.17"/>
    <n v="1.71"/>
    <n v="1545.71"/>
    <n v="-10.38"/>
    <n v="0.16"/>
    <n v="0"/>
    <n v="64.8"/>
  </r>
  <r>
    <n v="63"/>
    <x v="62"/>
    <x v="0"/>
    <x v="0"/>
    <s v="Yes"/>
    <x v="62"/>
    <n v="-3.87"/>
    <n v="44"/>
    <n v="1.61"/>
    <n v="1923.63"/>
    <n v="-15.01"/>
    <n v="0.34"/>
    <n v="0"/>
    <n v="21.7"/>
  </r>
  <r>
    <n v="64"/>
    <x v="63"/>
    <x v="0"/>
    <x v="0"/>
    <s v="Yes"/>
    <x v="63"/>
    <n v="-2.65"/>
    <n v="48.71"/>
    <n v="1.64"/>
    <n v="1667.29"/>
    <n v="-12.62"/>
    <n v="0.3"/>
    <n v="0"/>
    <n v="0"/>
  </r>
  <r>
    <n v="65"/>
    <x v="64"/>
    <x v="0"/>
    <x v="0"/>
    <s v="Yes"/>
    <x v="64"/>
    <n v="-6.62"/>
    <n v="48.92"/>
    <n v="3.8"/>
    <n v="1678.75"/>
    <n v="-16.13"/>
    <n v="0.56999999999999995"/>
    <n v="0.5"/>
    <n v="2.2000000000000002"/>
  </r>
  <r>
    <n v="66"/>
    <x v="65"/>
    <x v="0"/>
    <x v="0"/>
    <s v="Yes"/>
    <x v="65"/>
    <n v="-9.52"/>
    <n v="41"/>
    <n v="3.06"/>
    <n v="1828.38"/>
    <n v="-20.67"/>
    <n v="0.56999999999999995"/>
    <n v="0"/>
    <n v="0"/>
  </r>
  <r>
    <n v="67"/>
    <x v="66"/>
    <x v="0"/>
    <x v="0"/>
    <s v="Yes"/>
    <x v="66"/>
    <n v="-9.4"/>
    <n v="37.96"/>
    <n v="3.07"/>
    <n v="1975.29"/>
    <n v="-21.53"/>
    <n v="0.6"/>
    <n v="0"/>
    <n v="0"/>
  </r>
  <r>
    <n v="68"/>
    <x v="67"/>
    <x v="0"/>
    <x v="0"/>
    <s v="Yes"/>
    <x v="67"/>
    <n v="-10.01"/>
    <n v="35.54"/>
    <n v="3.18"/>
    <n v="1956.08"/>
    <n v="-22.58"/>
    <n v="0.59"/>
    <n v="0"/>
    <n v="0"/>
  </r>
  <r>
    <n v="69"/>
    <x v="68"/>
    <x v="0"/>
    <x v="0"/>
    <s v="Yes"/>
    <x v="68"/>
    <n v="-8.33"/>
    <n v="40"/>
    <n v="1.62"/>
    <n v="1831"/>
    <n v="-20.36"/>
    <n v="0.56000000000000005"/>
    <n v="0"/>
    <n v="0"/>
  </r>
  <r>
    <n v="70"/>
    <x v="69"/>
    <x v="0"/>
    <x v="0"/>
    <s v="Yes"/>
    <x v="69"/>
    <n v="-4.59"/>
    <n v="44.75"/>
    <n v="1.2"/>
    <n v="1643.88"/>
    <n v="-15.51"/>
    <n v="0.54"/>
    <n v="0"/>
    <n v="0"/>
  </r>
  <r>
    <n v="71"/>
    <x v="70"/>
    <x v="0"/>
    <x v="0"/>
    <s v="Yes"/>
    <x v="70"/>
    <n v="-0.05"/>
    <n v="42.46"/>
    <n v="1.1000000000000001"/>
    <n v="1181.58"/>
    <n v="-11.8"/>
    <n v="0.27"/>
    <n v="0"/>
    <n v="0"/>
  </r>
  <r>
    <n v="72"/>
    <x v="71"/>
    <x v="0"/>
    <x v="0"/>
    <s v="Yes"/>
    <x v="71"/>
    <n v="0.12"/>
    <n v="49.75"/>
    <n v="3.07"/>
    <n v="1094.46"/>
    <n v="-10.95"/>
    <n v="0.39"/>
    <n v="0"/>
    <n v="0"/>
  </r>
  <r>
    <n v="73"/>
    <x v="72"/>
    <x v="0"/>
    <x v="0"/>
    <s v="Yes"/>
    <x v="72"/>
    <n v="-5.99"/>
    <n v="40.54"/>
    <n v="2.7"/>
    <n v="1963.79"/>
    <n v="-17.78"/>
    <n v="0.51"/>
    <n v="0"/>
    <n v="0"/>
  </r>
  <r>
    <n v="74"/>
    <x v="73"/>
    <x v="0"/>
    <x v="0"/>
    <s v="Yes"/>
    <x v="73"/>
    <n v="-5.99"/>
    <n v="39.71"/>
    <n v="2.78"/>
    <n v="1934.83"/>
    <n v="-17.899999999999999"/>
    <n v="0.56999999999999995"/>
    <n v="0"/>
    <n v="0"/>
  </r>
  <r>
    <n v="75"/>
    <x v="74"/>
    <x v="0"/>
    <x v="0"/>
    <s v="Yes"/>
    <x v="74"/>
    <n v="-1.33"/>
    <n v="53.83"/>
    <n v="2.64"/>
    <n v="1950.38"/>
    <n v="-9.7200000000000006"/>
    <n v="0.56999999999999995"/>
    <n v="0"/>
    <n v="0"/>
  </r>
  <r>
    <n v="76"/>
    <x v="75"/>
    <x v="0"/>
    <x v="0"/>
    <s v="Yes"/>
    <x v="75"/>
    <n v="3.6"/>
    <n v="53.79"/>
    <n v="2.4300000000000002"/>
    <n v="1380.54"/>
    <n v="-5.45"/>
    <n v="0.28999999999999998"/>
    <n v="0"/>
    <n v="0"/>
  </r>
  <r>
    <n v="77"/>
    <x v="76"/>
    <x v="0"/>
    <x v="1"/>
    <s v="Yes"/>
    <x v="76"/>
    <n v="-0.45"/>
    <n v="27.75"/>
    <n v="2.38"/>
    <n v="1982.75"/>
    <n v="-17.43"/>
    <n v="0.6"/>
    <n v="0"/>
    <n v="0"/>
  </r>
  <r>
    <n v="78"/>
    <x v="77"/>
    <x v="0"/>
    <x v="1"/>
    <s v="Yes"/>
    <x v="77"/>
    <n v="-1.0900000000000001"/>
    <n v="40.5"/>
    <n v="2.09"/>
    <n v="1877.25"/>
    <n v="-13.6"/>
    <n v="0.59"/>
    <n v="0"/>
    <n v="0"/>
  </r>
  <r>
    <n v="79"/>
    <x v="78"/>
    <x v="0"/>
    <x v="1"/>
    <s v="Yes"/>
    <x v="78"/>
    <n v="-2.89"/>
    <n v="26.88"/>
    <n v="2.72"/>
    <n v="1973.33"/>
    <n v="-19.989999999999998"/>
    <n v="0.66"/>
    <n v="0"/>
    <n v="0"/>
  </r>
  <r>
    <n v="80"/>
    <x v="79"/>
    <x v="0"/>
    <x v="0"/>
    <s v="Yes"/>
    <x v="79"/>
    <n v="-0.68"/>
    <n v="26.5"/>
    <n v="1.29"/>
    <n v="1985.58"/>
    <n v="-18.03"/>
    <n v="0.47"/>
    <n v="0"/>
    <n v="0"/>
  </r>
  <r>
    <n v="81"/>
    <x v="80"/>
    <x v="0"/>
    <x v="0"/>
    <s v="Yes"/>
    <x v="80"/>
    <n v="1.73"/>
    <n v="46.5"/>
    <n v="1.5"/>
    <n v="1269.29"/>
    <n v="-8.74"/>
    <n v="0.42"/>
    <n v="0"/>
    <n v="0"/>
  </r>
  <r>
    <n v="82"/>
    <x v="81"/>
    <x v="0"/>
    <x v="0"/>
    <s v="Yes"/>
    <x v="81"/>
    <n v="1.1000000000000001"/>
    <n v="44.92"/>
    <n v="2.4500000000000002"/>
    <n v="1267.96"/>
    <n v="-11.82"/>
    <n v="0.56999999999999995"/>
    <n v="0"/>
    <n v="0"/>
  </r>
  <r>
    <n v="83"/>
    <x v="82"/>
    <x v="0"/>
    <x v="0"/>
    <s v="Yes"/>
    <x v="82"/>
    <n v="-0.92"/>
    <n v="30"/>
    <n v="2.34"/>
    <n v="1972.13"/>
    <n v="-17.43"/>
    <n v="0.64"/>
    <n v="0"/>
    <n v="0"/>
  </r>
  <r>
    <n v="84"/>
    <x v="83"/>
    <x v="0"/>
    <x v="0"/>
    <s v="Yes"/>
    <x v="83"/>
    <n v="0.99"/>
    <n v="56"/>
    <n v="2.0699999999999998"/>
    <n v="1500.17"/>
    <n v="-6.86"/>
    <n v="0.39"/>
    <n v="0"/>
    <n v="0"/>
  </r>
  <r>
    <n v="85"/>
    <x v="84"/>
    <x v="0"/>
    <x v="0"/>
    <s v="Yes"/>
    <x v="84"/>
    <n v="3.95"/>
    <n v="80.92"/>
    <n v="1.92"/>
    <n v="249.79"/>
    <n v="0.72"/>
    <n v="0.39"/>
    <n v="4.0999999999999996"/>
    <n v="44.7"/>
  </r>
  <r>
    <n v="86"/>
    <x v="85"/>
    <x v="0"/>
    <x v="0"/>
    <s v="Yes"/>
    <x v="85"/>
    <n v="2.76"/>
    <n v="52.67"/>
    <n v="2.31"/>
    <n v="963"/>
    <n v="-7.45"/>
    <n v="0.55000000000000004"/>
    <n v="0"/>
    <n v="0"/>
  </r>
  <r>
    <n v="87"/>
    <x v="86"/>
    <x v="0"/>
    <x v="0"/>
    <s v="Yes"/>
    <x v="86"/>
    <n v="1.92"/>
    <n v="39.29"/>
    <n v="1.8"/>
    <n v="1694.88"/>
    <n v="-11.17"/>
    <n v="0.67"/>
    <n v="0"/>
    <n v="0"/>
  </r>
  <r>
    <n v="88"/>
    <x v="87"/>
    <x v="0"/>
    <x v="0"/>
    <s v="Yes"/>
    <x v="87"/>
    <n v="2.73"/>
    <n v="45.96"/>
    <n v="1.37"/>
    <n v="1324.63"/>
    <n v="-8.77"/>
    <n v="0.68"/>
    <n v="0"/>
    <n v="0"/>
  </r>
  <r>
    <n v="89"/>
    <x v="88"/>
    <x v="0"/>
    <x v="0"/>
    <s v="Yes"/>
    <x v="88"/>
    <n v="4.01"/>
    <n v="47"/>
    <n v="0.9"/>
    <n v="872.17"/>
    <n v="-6.34"/>
    <n v="0.12"/>
    <n v="0"/>
    <n v="0"/>
  </r>
  <r>
    <n v="90"/>
    <x v="89"/>
    <x v="0"/>
    <x v="0"/>
    <s v="Yes"/>
    <x v="89"/>
    <n v="4.8499999999999996"/>
    <n v="70.08"/>
    <n v="2.1"/>
    <n v="640"/>
    <n v="-0.59"/>
    <n v="7.0000000000000007E-2"/>
    <n v="23"/>
    <n v="0"/>
  </r>
  <r>
    <n v="91"/>
    <x v="90"/>
    <x v="1"/>
    <x v="1"/>
    <s v="Yes"/>
    <x v="90"/>
    <n v="0.45"/>
    <n v="64.209999999999994"/>
    <n v="3.55"/>
    <n v="1084"/>
    <n v="-6.39"/>
    <n v="0.75"/>
    <n v="2.5"/>
    <n v="0"/>
  </r>
  <r>
    <n v="92"/>
    <x v="91"/>
    <x v="1"/>
    <x v="0"/>
    <s v="Yes"/>
    <x v="91"/>
    <n v="-1.1499999999999999"/>
    <n v="36.380000000000003"/>
    <n v="1.64"/>
    <n v="1679.29"/>
    <n v="-14.91"/>
    <n v="0.79"/>
    <n v="0"/>
    <n v="0"/>
  </r>
  <r>
    <n v="93"/>
    <x v="92"/>
    <x v="1"/>
    <x v="0"/>
    <s v="Yes"/>
    <x v="92"/>
    <n v="7.18"/>
    <n v="33.54"/>
    <n v="1.6"/>
    <n v="1712.92"/>
    <n v="-9.09"/>
    <n v="0.75"/>
    <n v="0"/>
    <n v="0"/>
  </r>
  <r>
    <n v="94"/>
    <x v="93"/>
    <x v="1"/>
    <x v="0"/>
    <s v="Yes"/>
    <x v="93"/>
    <n v="9.83"/>
    <n v="89"/>
    <n v="1.23"/>
    <n v="582.63"/>
    <n v="8.01"/>
    <n v="0.16"/>
    <n v="2.5"/>
    <n v="0"/>
  </r>
  <r>
    <n v="95"/>
    <x v="94"/>
    <x v="1"/>
    <x v="0"/>
    <s v="Yes"/>
    <x v="94"/>
    <n v="6.04"/>
    <n v="68.58"/>
    <n v="1.92"/>
    <n v="1838.08"/>
    <n v="0.15"/>
    <n v="0.57999999999999996"/>
    <n v="12.5"/>
    <n v="0"/>
  </r>
  <r>
    <n v="96"/>
    <x v="95"/>
    <x v="1"/>
    <x v="0"/>
    <s v="Yes"/>
    <x v="95"/>
    <n v="4.29"/>
    <n v="49.46"/>
    <n v="1.55"/>
    <n v="1816.33"/>
    <n v="-6.58"/>
    <n v="0.74"/>
    <n v="0"/>
    <n v="0"/>
  </r>
  <r>
    <n v="97"/>
    <x v="96"/>
    <x v="1"/>
    <x v="0"/>
    <s v="Yes"/>
    <x v="96"/>
    <n v="6.19"/>
    <n v="50.67"/>
    <n v="1.72"/>
    <n v="1873.63"/>
    <n v="-3.61"/>
    <n v="0.45"/>
    <n v="0"/>
    <n v="0"/>
  </r>
  <r>
    <n v="98"/>
    <x v="97"/>
    <x v="1"/>
    <x v="0"/>
    <s v="Yes"/>
    <x v="97"/>
    <n v="4.7300000000000004"/>
    <n v="77.790000000000006"/>
    <n v="2.0299999999999998"/>
    <n v="826.25"/>
    <n v="0.98"/>
    <n v="0.43"/>
    <n v="4.5"/>
    <n v="0"/>
  </r>
  <r>
    <n v="99"/>
    <x v="98"/>
    <x v="1"/>
    <x v="0"/>
    <s v="Yes"/>
    <x v="98"/>
    <n v="4.5999999999999996"/>
    <n v="62.04"/>
    <n v="1.51"/>
    <n v="1083.67"/>
    <n v="-2.2999999999999998"/>
    <n v="0.43"/>
    <n v="0"/>
    <n v="0"/>
  </r>
  <r>
    <n v="100"/>
    <x v="99"/>
    <x v="1"/>
    <x v="0"/>
    <s v="Yes"/>
    <x v="99"/>
    <n v="4.3499999999999996"/>
    <n v="65.040000000000006"/>
    <n v="1.95"/>
    <n v="980.83"/>
    <n v="-2.06"/>
    <n v="0.69"/>
    <n v="0"/>
    <n v="0"/>
  </r>
  <r>
    <n v="101"/>
    <x v="100"/>
    <x v="1"/>
    <x v="0"/>
    <s v="Yes"/>
    <x v="100"/>
    <n v="6.61"/>
    <n v="53.33"/>
    <n v="1.94"/>
    <n v="945.13"/>
    <n v="-3.88"/>
    <n v="0.75"/>
    <n v="0"/>
    <n v="0"/>
  </r>
  <r>
    <n v="102"/>
    <x v="101"/>
    <x v="1"/>
    <x v="0"/>
    <s v="Yes"/>
    <x v="101"/>
    <n v="7.79"/>
    <n v="44.46"/>
    <n v="1.4"/>
    <n v="812.79"/>
    <n v="-3.8"/>
    <n v="0.57999999999999996"/>
    <n v="0"/>
    <n v="0"/>
  </r>
  <r>
    <n v="103"/>
    <x v="102"/>
    <x v="1"/>
    <x v="0"/>
    <s v="Yes"/>
    <x v="102"/>
    <n v="11.65"/>
    <n v="59.25"/>
    <n v="1.73"/>
    <n v="973.79"/>
    <n v="3.64"/>
    <n v="0.59"/>
    <n v="0"/>
    <n v="0"/>
  </r>
  <r>
    <n v="104"/>
    <x v="103"/>
    <x v="1"/>
    <x v="0"/>
    <s v="Yes"/>
    <x v="103"/>
    <n v="16.78"/>
    <n v="60.04"/>
    <n v="2.2599999999999998"/>
    <n v="1774.96"/>
    <n v="8.59"/>
    <n v="0.64"/>
    <n v="0"/>
    <n v="0"/>
  </r>
  <r>
    <n v="105"/>
    <x v="104"/>
    <x v="1"/>
    <x v="0"/>
    <s v="Yes"/>
    <x v="104"/>
    <n v="13"/>
    <n v="91.29"/>
    <n v="2.0099999999999998"/>
    <n v="613.79"/>
    <n v="11.43"/>
    <n v="0.06"/>
    <n v="27"/>
    <n v="0"/>
  </r>
  <r>
    <n v="106"/>
    <x v="105"/>
    <x v="1"/>
    <x v="0"/>
    <s v="Yes"/>
    <x v="105"/>
    <n v="7.35"/>
    <n v="50.04"/>
    <n v="1.9"/>
    <n v="1989.5"/>
    <n v="-2.97"/>
    <n v="0.88"/>
    <n v="0"/>
    <n v="0"/>
  </r>
  <r>
    <n v="107"/>
    <x v="106"/>
    <x v="1"/>
    <x v="0"/>
    <s v="Yes"/>
    <x v="106"/>
    <n v="6.38"/>
    <n v="47.92"/>
    <n v="1.6"/>
    <n v="1659.04"/>
    <n v="-4.37"/>
    <n v="0.74"/>
    <n v="0"/>
    <n v="0"/>
  </r>
  <r>
    <n v="108"/>
    <x v="107"/>
    <x v="1"/>
    <x v="0"/>
    <s v="Yes"/>
    <x v="107"/>
    <n v="8.07"/>
    <n v="53.83"/>
    <n v="1.17"/>
    <n v="845.63"/>
    <n v="-1.02"/>
    <n v="0.3"/>
    <n v="0"/>
    <n v="0"/>
  </r>
  <r>
    <n v="109"/>
    <x v="108"/>
    <x v="1"/>
    <x v="0"/>
    <s v="Yes"/>
    <x v="108"/>
    <n v="8.02"/>
    <n v="68.75"/>
    <n v="2.38"/>
    <n v="1316.5"/>
    <n v="2.2200000000000002"/>
    <n v="0.14000000000000001"/>
    <n v="1.5"/>
    <n v="0"/>
  </r>
  <r>
    <n v="110"/>
    <x v="109"/>
    <x v="1"/>
    <x v="0"/>
    <s v="Yes"/>
    <x v="109"/>
    <n v="5.04"/>
    <n v="40.58"/>
    <n v="3.46"/>
    <n v="1996.79"/>
    <n v="-7.28"/>
    <n v="0.6"/>
    <n v="0"/>
    <n v="0"/>
  </r>
  <r>
    <n v="111"/>
    <x v="110"/>
    <x v="1"/>
    <x v="0"/>
    <s v="Yes"/>
    <x v="110"/>
    <n v="2.13"/>
    <n v="59.63"/>
    <n v="1.75"/>
    <n v="1783.88"/>
    <n v="-5.66"/>
    <n v="0.26"/>
    <n v="1"/>
    <n v="0"/>
  </r>
  <r>
    <n v="112"/>
    <x v="111"/>
    <x v="1"/>
    <x v="0"/>
    <s v="Yes"/>
    <x v="111"/>
    <n v="4.8499999999999996"/>
    <n v="62.25"/>
    <n v="2.23"/>
    <n v="1232.8800000000001"/>
    <n v="-2.66"/>
    <n v="0.85"/>
    <n v="0"/>
    <n v="0"/>
  </r>
  <r>
    <n v="113"/>
    <x v="112"/>
    <x v="1"/>
    <x v="0"/>
    <s v="Yes"/>
    <x v="112"/>
    <n v="6.08"/>
    <n v="57.21"/>
    <n v="1.94"/>
    <n v="800.08"/>
    <n v="-2.69"/>
    <n v="0.8"/>
    <n v="0"/>
    <n v="0"/>
  </r>
  <r>
    <n v="114"/>
    <x v="113"/>
    <x v="1"/>
    <x v="0"/>
    <s v="Yes"/>
    <x v="113"/>
    <n v="7.48"/>
    <n v="59.71"/>
    <n v="2.2000000000000002"/>
    <n v="448.25"/>
    <n v="-0.18"/>
    <n v="0.64"/>
    <n v="0"/>
    <n v="0"/>
  </r>
  <r>
    <n v="115"/>
    <x v="114"/>
    <x v="1"/>
    <x v="0"/>
    <s v="Yes"/>
    <x v="114"/>
    <n v="9.6300000000000008"/>
    <n v="65.83"/>
    <n v="1.76"/>
    <n v="264.17"/>
    <n v="2.79"/>
    <n v="0.8"/>
    <n v="0"/>
    <n v="0"/>
  </r>
  <r>
    <n v="116"/>
    <x v="115"/>
    <x v="1"/>
    <x v="0"/>
    <s v="Yes"/>
    <x v="115"/>
    <n v="10.8"/>
    <n v="65.5"/>
    <n v="1.99"/>
    <n v="460"/>
    <n v="3.36"/>
    <n v="0.79"/>
    <n v="0"/>
    <n v="0"/>
  </r>
  <r>
    <n v="117"/>
    <x v="116"/>
    <x v="1"/>
    <x v="0"/>
    <s v="Yes"/>
    <x v="116"/>
    <n v="13.08"/>
    <n v="60.25"/>
    <n v="1.6"/>
    <n v="490.58"/>
    <n v="5.18"/>
    <n v="0.67"/>
    <n v="0"/>
    <n v="0"/>
  </r>
  <r>
    <n v="118"/>
    <x v="117"/>
    <x v="1"/>
    <x v="0"/>
    <s v="Yes"/>
    <x v="117"/>
    <n v="13.97"/>
    <n v="65.709999999999994"/>
    <n v="2.19"/>
    <n v="871.17"/>
    <n v="7.26"/>
    <n v="0.57999999999999996"/>
    <n v="0"/>
    <n v="0"/>
  </r>
  <r>
    <n v="119"/>
    <x v="118"/>
    <x v="1"/>
    <x v="0"/>
    <s v="Yes"/>
    <x v="118"/>
    <n v="15.55"/>
    <n v="66.790000000000006"/>
    <n v="1.7"/>
    <n v="539.41999999999996"/>
    <n v="8.9"/>
    <n v="0.62"/>
    <n v="0"/>
    <n v="0"/>
  </r>
  <r>
    <n v="120"/>
    <x v="119"/>
    <x v="1"/>
    <x v="0"/>
    <s v="Yes"/>
    <x v="119"/>
    <n v="14.67"/>
    <n v="55.04"/>
    <n v="1.78"/>
    <n v="906.42"/>
    <n v="4.6100000000000003"/>
    <n v="0.83"/>
    <n v="0"/>
    <n v="0"/>
  </r>
  <r>
    <n v="121"/>
    <x v="120"/>
    <x v="1"/>
    <x v="0"/>
    <s v="Yes"/>
    <x v="120"/>
    <n v="13.94"/>
    <n v="54.04"/>
    <n v="1.9"/>
    <n v="1230.75"/>
    <n v="3.94"/>
    <n v="0.71"/>
    <n v="0"/>
    <n v="0"/>
  </r>
  <r>
    <n v="122"/>
    <x v="121"/>
    <x v="1"/>
    <x v="0"/>
    <s v="Yes"/>
    <x v="121"/>
    <n v="15.18"/>
    <n v="68.92"/>
    <n v="1.57"/>
    <n v="831.83"/>
    <n v="9.3699999999999992"/>
    <n v="0.3"/>
    <n v="0"/>
    <n v="0"/>
  </r>
  <r>
    <n v="123"/>
    <x v="122"/>
    <x v="1"/>
    <x v="0"/>
    <s v="Yes"/>
    <x v="122"/>
    <n v="18.22"/>
    <n v="65.540000000000006"/>
    <n v="2"/>
    <n v="1099.46"/>
    <n v="11.21"/>
    <n v="0.59"/>
    <n v="0"/>
    <n v="0"/>
  </r>
  <r>
    <n v="124"/>
    <x v="123"/>
    <x v="1"/>
    <x v="0"/>
    <s v="Yes"/>
    <x v="123"/>
    <n v="17.96"/>
    <n v="70.290000000000006"/>
    <n v="2.11"/>
    <n v="1157.6300000000001"/>
    <n v="12.28"/>
    <n v="0.28999999999999998"/>
    <n v="0"/>
    <n v="0"/>
  </r>
  <r>
    <n v="125"/>
    <x v="124"/>
    <x v="1"/>
    <x v="0"/>
    <s v="Yes"/>
    <x v="124"/>
    <n v="13.74"/>
    <n v="70.08"/>
    <n v="1.83"/>
    <n v="1555.75"/>
    <n v="7.65"/>
    <n v="0.82"/>
    <n v="18.600000000000001"/>
    <n v="0"/>
  </r>
  <r>
    <n v="126"/>
    <x v="125"/>
    <x v="1"/>
    <x v="0"/>
    <s v="Yes"/>
    <x v="125"/>
    <n v="7.8"/>
    <n v="87.33"/>
    <n v="1.99"/>
    <n v="1145.96"/>
    <n v="5.58"/>
    <n v="0.09"/>
    <n v="10"/>
    <n v="0"/>
  </r>
  <r>
    <n v="127"/>
    <x v="126"/>
    <x v="1"/>
    <x v="0"/>
    <s v="Yes"/>
    <x v="126"/>
    <n v="6.3"/>
    <n v="74.040000000000006"/>
    <n v="3.04"/>
    <n v="848.46"/>
    <n v="1.58"/>
    <n v="0.47"/>
    <n v="7"/>
    <n v="0"/>
  </r>
  <r>
    <n v="128"/>
    <x v="127"/>
    <x v="1"/>
    <x v="0"/>
    <s v="Yes"/>
    <x v="127"/>
    <n v="4.21"/>
    <n v="46"/>
    <n v="4"/>
    <n v="1597.96"/>
    <n v="-7.24"/>
    <n v="0.76"/>
    <n v="0.2"/>
    <n v="0"/>
  </r>
  <r>
    <n v="129"/>
    <x v="128"/>
    <x v="1"/>
    <x v="0"/>
    <s v="Yes"/>
    <x v="128"/>
    <n v="3.81"/>
    <n v="56.96"/>
    <n v="1.73"/>
    <n v="1578.92"/>
    <n v="-4.8600000000000003"/>
    <n v="0.33"/>
    <n v="3"/>
    <n v="0"/>
  </r>
  <r>
    <n v="130"/>
    <x v="129"/>
    <x v="1"/>
    <x v="0"/>
    <s v="Yes"/>
    <x v="129"/>
    <n v="7.48"/>
    <n v="60.29"/>
    <n v="1.05"/>
    <n v="926"/>
    <n v="-1.72"/>
    <n v="0.9"/>
    <n v="0"/>
    <n v="0"/>
  </r>
  <r>
    <n v="131"/>
    <x v="130"/>
    <x v="1"/>
    <x v="0"/>
    <s v="Yes"/>
    <x v="130"/>
    <n v="14.65"/>
    <n v="46.96"/>
    <n v="3.43"/>
    <n v="1625.42"/>
    <n v="2.85"/>
    <n v="0.73"/>
    <n v="5"/>
    <n v="0"/>
  </r>
  <r>
    <n v="132"/>
    <x v="131"/>
    <x v="1"/>
    <x v="0"/>
    <s v="No"/>
    <x v="131"/>
    <n v="12.87"/>
    <n v="53.38"/>
    <n v="3.01"/>
    <n v="1331.54"/>
    <n v="2.12"/>
    <n v="1.04"/>
    <n v="0"/>
    <n v="0"/>
  </r>
  <r>
    <n v="133"/>
    <x v="132"/>
    <x v="1"/>
    <x v="0"/>
    <s v="Yes"/>
    <x v="132"/>
    <n v="13.03"/>
    <n v="32.42"/>
    <n v="2.58"/>
    <n v="1885.75"/>
    <n v="-4.6399999999999997"/>
    <n v="1.02"/>
    <n v="0"/>
    <n v="0"/>
  </r>
  <r>
    <n v="134"/>
    <x v="133"/>
    <x v="1"/>
    <x v="0"/>
    <s v="Yes"/>
    <x v="133"/>
    <n v="14.29"/>
    <n v="22.25"/>
    <n v="1.4"/>
    <n v="1997.83"/>
    <n v="-7.52"/>
    <n v="0.53"/>
    <n v="0"/>
    <n v="0"/>
  </r>
  <r>
    <n v="135"/>
    <x v="134"/>
    <x v="1"/>
    <x v="0"/>
    <s v="Yes"/>
    <x v="134"/>
    <n v="9.59"/>
    <n v="75.17"/>
    <n v="1.83"/>
    <n v="1388.79"/>
    <n v="4.47"/>
    <n v="0.15"/>
    <n v="9"/>
    <n v="0"/>
  </r>
  <r>
    <n v="136"/>
    <x v="135"/>
    <x v="1"/>
    <x v="0"/>
    <s v="Yes"/>
    <x v="135"/>
    <n v="9.41"/>
    <n v="67.709999999999994"/>
    <n v="2.34"/>
    <n v="1301.1300000000001"/>
    <n v="3.42"/>
    <n v="0.72"/>
    <n v="0"/>
    <n v="0"/>
  </r>
  <r>
    <n v="137"/>
    <x v="136"/>
    <x v="1"/>
    <x v="0"/>
    <s v="Yes"/>
    <x v="136"/>
    <n v="11.43"/>
    <n v="43.88"/>
    <n v="1.6"/>
    <n v="1836.67"/>
    <n v="-1.53"/>
    <n v="1.03"/>
    <n v="0"/>
    <n v="0"/>
  </r>
  <r>
    <n v="138"/>
    <x v="137"/>
    <x v="1"/>
    <x v="0"/>
    <s v="Yes"/>
    <x v="137"/>
    <n v="12.81"/>
    <n v="36.92"/>
    <n v="1.81"/>
    <n v="1622.04"/>
    <n v="-2.13"/>
    <n v="1"/>
    <n v="0"/>
    <n v="0"/>
  </r>
  <r>
    <n v="139"/>
    <x v="138"/>
    <x v="1"/>
    <x v="0"/>
    <s v="Yes"/>
    <x v="138"/>
    <n v="12.38"/>
    <n v="35.42"/>
    <n v="1.94"/>
    <n v="1497.79"/>
    <n v="-3.42"/>
    <n v="1.05"/>
    <n v="0"/>
    <n v="0"/>
  </r>
  <r>
    <n v="140"/>
    <x v="139"/>
    <x v="1"/>
    <x v="0"/>
    <s v="Yes"/>
    <x v="139"/>
    <n v="13.79"/>
    <n v="37.54"/>
    <n v="1.93"/>
    <n v="1163.29"/>
    <n v="-1.43"/>
    <n v="0.93"/>
    <n v="0"/>
    <n v="0"/>
  </r>
  <r>
    <n v="141"/>
    <x v="140"/>
    <x v="1"/>
    <x v="0"/>
    <s v="Yes"/>
    <x v="140"/>
    <n v="18.059999999999999"/>
    <n v="45.79"/>
    <n v="1.32"/>
    <n v="789.71"/>
    <n v="5.4"/>
    <n v="0.95"/>
    <n v="0"/>
    <n v="0"/>
  </r>
  <r>
    <n v="142"/>
    <x v="141"/>
    <x v="1"/>
    <x v="0"/>
    <s v="Yes"/>
    <x v="141"/>
    <n v="18.66"/>
    <n v="35.33"/>
    <n v="1.83"/>
    <n v="1292.71"/>
    <n v="-0.13"/>
    <n v="1.0900000000000001"/>
    <n v="0"/>
    <n v="0"/>
  </r>
  <r>
    <n v="143"/>
    <x v="142"/>
    <x v="1"/>
    <x v="0"/>
    <s v="Yes"/>
    <x v="142"/>
    <n v="16.03"/>
    <n v="52.54"/>
    <n v="1.07"/>
    <n v="1578.92"/>
    <n v="5.46"/>
    <n v="0.21"/>
    <n v="13.5"/>
    <n v="0"/>
  </r>
  <r>
    <n v="144"/>
    <x v="143"/>
    <x v="1"/>
    <x v="0"/>
    <s v="Yes"/>
    <x v="143"/>
    <n v="9.43"/>
    <n v="93.79"/>
    <n v="2.21"/>
    <n v="721.04"/>
    <n v="8.42"/>
    <n v="0.11"/>
    <n v="61"/>
    <n v="0"/>
  </r>
  <r>
    <n v="145"/>
    <x v="144"/>
    <x v="1"/>
    <x v="0"/>
    <s v="Yes"/>
    <x v="144"/>
    <n v="12.2"/>
    <n v="65.209999999999994"/>
    <n v="1.41"/>
    <n v="1938.46"/>
    <n v="5.24"/>
    <n v="0.42"/>
    <n v="3"/>
    <n v="0"/>
  </r>
  <r>
    <n v="146"/>
    <x v="145"/>
    <x v="1"/>
    <x v="0"/>
    <s v="Yes"/>
    <x v="145"/>
    <n v="14.25"/>
    <n v="38.79"/>
    <n v="1.47"/>
    <n v="1880.33"/>
    <n v="-0.81"/>
    <n v="1.04"/>
    <n v="0"/>
    <n v="0"/>
  </r>
  <r>
    <n v="147"/>
    <x v="146"/>
    <x v="1"/>
    <x v="0"/>
    <s v="Yes"/>
    <x v="146"/>
    <n v="15.09"/>
    <n v="50.08"/>
    <n v="1.87"/>
    <n v="1355.67"/>
    <n v="3.88"/>
    <n v="0.91"/>
    <n v="0"/>
    <n v="0"/>
  </r>
  <r>
    <n v="148"/>
    <x v="147"/>
    <x v="1"/>
    <x v="0"/>
    <s v="Yes"/>
    <x v="147"/>
    <n v="15.58"/>
    <n v="51.71"/>
    <n v="1.7"/>
    <n v="985.75"/>
    <n v="5.13"/>
    <n v="0.95"/>
    <n v="0"/>
    <n v="0"/>
  </r>
  <r>
    <n v="149"/>
    <x v="148"/>
    <x v="1"/>
    <x v="0"/>
    <s v="Yes"/>
    <x v="148"/>
    <n v="15.51"/>
    <n v="50.5"/>
    <n v="2.0299999999999998"/>
    <n v="1153.21"/>
    <n v="3.88"/>
    <n v="1.0900000000000001"/>
    <n v="0"/>
    <n v="0"/>
  </r>
  <r>
    <n v="150"/>
    <x v="149"/>
    <x v="1"/>
    <x v="0"/>
    <s v="Yes"/>
    <x v="149"/>
    <n v="15.87"/>
    <n v="43.13"/>
    <n v="1.9"/>
    <n v="1252.71"/>
    <n v="2.44"/>
    <n v="1.02"/>
    <n v="0"/>
    <n v="0"/>
  </r>
  <r>
    <n v="151"/>
    <x v="150"/>
    <x v="1"/>
    <x v="0"/>
    <s v="Yes"/>
    <x v="150"/>
    <n v="18.829999999999998"/>
    <n v="60.38"/>
    <n v="1.59"/>
    <n v="495.33"/>
    <n v="10.69"/>
    <n v="0.86"/>
    <n v="0"/>
    <n v="0"/>
  </r>
  <r>
    <n v="152"/>
    <x v="151"/>
    <x v="1"/>
    <x v="1"/>
    <s v="Yes"/>
    <x v="151"/>
    <n v="20.34"/>
    <n v="72.790000000000006"/>
    <n v="1.44"/>
    <n v="456.46"/>
    <n v="15.12"/>
    <n v="0.52"/>
    <n v="0"/>
    <n v="0"/>
  </r>
  <r>
    <n v="153"/>
    <x v="152"/>
    <x v="1"/>
    <x v="0"/>
    <s v="Yes"/>
    <x v="152"/>
    <n v="16.07"/>
    <n v="88.96"/>
    <n v="1.86"/>
    <n v="490.5"/>
    <n v="14.15"/>
    <n v="0.1"/>
    <n v="12"/>
    <n v="0"/>
  </r>
  <r>
    <n v="154"/>
    <x v="153"/>
    <x v="1"/>
    <x v="0"/>
    <s v="Yes"/>
    <x v="153"/>
    <n v="11.02"/>
    <n v="64.959999999999994"/>
    <n v="2.78"/>
    <n v="1786.21"/>
    <n v="4.17"/>
    <n v="0.51"/>
    <n v="1"/>
    <n v="0"/>
  </r>
  <r>
    <n v="155"/>
    <x v="154"/>
    <x v="1"/>
    <x v="0"/>
    <s v="Yes"/>
    <x v="154"/>
    <n v="13.84"/>
    <n v="46.83"/>
    <n v="2.69"/>
    <n v="1815.79"/>
    <n v="1.94"/>
    <n v="1.1399999999999999"/>
    <n v="0"/>
    <n v="0"/>
  </r>
  <r>
    <n v="156"/>
    <x v="155"/>
    <x v="1"/>
    <x v="0"/>
    <s v="Yes"/>
    <x v="155"/>
    <n v="17.73"/>
    <n v="46.79"/>
    <n v="2.73"/>
    <n v="1848.75"/>
    <n v="5.69"/>
    <n v="0.93"/>
    <n v="0"/>
    <n v="0"/>
  </r>
  <r>
    <n v="157"/>
    <x v="156"/>
    <x v="1"/>
    <x v="0"/>
    <s v="Yes"/>
    <x v="156"/>
    <n v="16.920000000000002"/>
    <n v="84.04"/>
    <n v="1.1000000000000001"/>
    <n v="1222.3800000000001"/>
    <n v="13.98"/>
    <n v="0.39"/>
    <n v="22"/>
    <n v="0"/>
  </r>
  <r>
    <n v="158"/>
    <x v="157"/>
    <x v="1"/>
    <x v="0"/>
    <s v="Yes"/>
    <x v="157"/>
    <n v="18.989999999999998"/>
    <n v="62.71"/>
    <n v="1.2"/>
    <n v="1703.92"/>
    <n v="10.74"/>
    <n v="0.74"/>
    <n v="0"/>
    <n v="0"/>
  </r>
  <r>
    <n v="159"/>
    <x v="158"/>
    <x v="1"/>
    <x v="0"/>
    <s v="Yes"/>
    <x v="158"/>
    <n v="17.760000000000002"/>
    <n v="52.08"/>
    <n v="1.7"/>
    <n v="1939.17"/>
    <n v="7.45"/>
    <n v="0.97"/>
    <n v="0"/>
    <n v="0"/>
  </r>
  <r>
    <n v="160"/>
    <x v="159"/>
    <x v="1"/>
    <x v="0"/>
    <s v="Yes"/>
    <x v="159"/>
    <n v="15.46"/>
    <n v="50.04"/>
    <n v="1.7"/>
    <n v="1958.79"/>
    <n v="4.63"/>
    <n v="1.1200000000000001"/>
    <n v="0"/>
    <n v="0"/>
  </r>
  <r>
    <n v="161"/>
    <x v="160"/>
    <x v="1"/>
    <x v="0"/>
    <s v="No"/>
    <x v="131"/>
    <n v="15.47"/>
    <n v="65.83"/>
    <n v="2.25"/>
    <n v="1099.96"/>
    <n v="8.6999999999999993"/>
    <n v="1.1100000000000001"/>
    <n v="0"/>
    <n v="0"/>
  </r>
  <r>
    <n v="162"/>
    <x v="161"/>
    <x v="1"/>
    <x v="0"/>
    <s v="Yes"/>
    <x v="160"/>
    <n v="15.81"/>
    <n v="63.5"/>
    <n v="1.71"/>
    <n v="689.46"/>
    <n v="8.2899999999999991"/>
    <n v="0.78"/>
    <n v="0"/>
    <n v="0"/>
  </r>
  <r>
    <n v="163"/>
    <x v="162"/>
    <x v="1"/>
    <x v="0"/>
    <s v="Yes"/>
    <x v="161"/>
    <n v="14.22"/>
    <n v="85.21"/>
    <n v="0.98"/>
    <n v="425.04"/>
    <n v="11.41"/>
    <n v="0.06"/>
    <n v="31.5"/>
    <n v="0"/>
  </r>
  <r>
    <n v="164"/>
    <x v="163"/>
    <x v="1"/>
    <x v="0"/>
    <s v="Yes"/>
    <x v="162"/>
    <n v="15.95"/>
    <n v="83.63"/>
    <n v="1.81"/>
    <n v="683.17"/>
    <n v="12.87"/>
    <n v="0.68"/>
    <n v="1"/>
    <n v="0"/>
  </r>
  <r>
    <n v="165"/>
    <x v="164"/>
    <x v="1"/>
    <x v="0"/>
    <s v="Yes"/>
    <x v="163"/>
    <n v="17.739999999999998"/>
    <n v="72.42"/>
    <n v="1.39"/>
    <n v="364.21"/>
    <n v="12.23"/>
    <n v="0.8"/>
    <n v="0"/>
    <n v="0"/>
  </r>
  <r>
    <n v="166"/>
    <x v="165"/>
    <x v="1"/>
    <x v="0"/>
    <s v="Yes"/>
    <x v="164"/>
    <n v="22.69"/>
    <n v="56.46"/>
    <n v="1.08"/>
    <n v="790.58"/>
    <n v="12.73"/>
    <n v="0.88"/>
    <n v="0"/>
    <n v="0"/>
  </r>
  <r>
    <n v="167"/>
    <x v="166"/>
    <x v="1"/>
    <x v="0"/>
    <s v="Yes"/>
    <x v="165"/>
    <n v="22.42"/>
    <n v="90.67"/>
    <n v="1.8"/>
    <n v="466.79"/>
    <n v="20.64"/>
    <n v="7.0000000000000007E-2"/>
    <n v="44.5"/>
    <n v="0"/>
  </r>
  <r>
    <n v="168"/>
    <x v="167"/>
    <x v="1"/>
    <x v="0"/>
    <s v="Yes"/>
    <x v="166"/>
    <n v="21.14"/>
    <n v="95.88"/>
    <n v="1.17"/>
    <n v="750.88"/>
    <n v="20.37"/>
    <n v="0.17"/>
    <n v="82.5"/>
    <n v="0"/>
  </r>
  <r>
    <n v="169"/>
    <x v="168"/>
    <x v="1"/>
    <x v="0"/>
    <s v="Yes"/>
    <x v="167"/>
    <n v="16.899999999999999"/>
    <n v="89.21"/>
    <n v="1.3"/>
    <n v="1087.54"/>
    <n v="14.97"/>
    <n v="0.24"/>
    <n v="7.5"/>
    <n v="0"/>
  </r>
  <r>
    <n v="170"/>
    <x v="169"/>
    <x v="1"/>
    <x v="0"/>
    <s v="Yes"/>
    <x v="168"/>
    <n v="17.27"/>
    <n v="47.08"/>
    <n v="1.54"/>
    <n v="1996.25"/>
    <n v="5.82"/>
    <n v="1.21"/>
    <n v="0"/>
    <n v="0"/>
  </r>
  <r>
    <n v="171"/>
    <x v="170"/>
    <x v="1"/>
    <x v="0"/>
    <s v="Yes"/>
    <x v="169"/>
    <n v="17.059999999999999"/>
    <n v="33.83"/>
    <n v="1.39"/>
    <n v="2000"/>
    <n v="0.55000000000000004"/>
    <n v="0.6"/>
    <n v="0"/>
    <n v="0"/>
  </r>
  <r>
    <n v="172"/>
    <x v="171"/>
    <x v="1"/>
    <x v="0"/>
    <s v="Yes"/>
    <x v="170"/>
    <n v="17.690000000000001"/>
    <n v="31.46"/>
    <n v="1.44"/>
    <n v="1861.67"/>
    <n v="3.41"/>
    <n v="1.02"/>
    <n v="0"/>
    <n v="0"/>
  </r>
  <r>
    <n v="173"/>
    <x v="172"/>
    <x v="1"/>
    <x v="1"/>
    <s v="Yes"/>
    <x v="171"/>
    <n v="18.2"/>
    <n v="60.46"/>
    <n v="1.05"/>
    <n v="1153.04"/>
    <n v="12.84"/>
    <n v="0.45"/>
    <n v="9"/>
    <n v="0"/>
  </r>
  <r>
    <n v="174"/>
    <x v="173"/>
    <x v="1"/>
    <x v="0"/>
    <s v="Yes"/>
    <x v="172"/>
    <n v="17.45"/>
    <n v="62"/>
    <n v="2.7"/>
    <n v="1652.75"/>
    <n v="8.92"/>
    <n v="1.22"/>
    <n v="10"/>
    <n v="0"/>
  </r>
  <r>
    <n v="175"/>
    <x v="174"/>
    <x v="1"/>
    <x v="0"/>
    <s v="Yes"/>
    <x v="173"/>
    <n v="17.96"/>
    <n v="47.08"/>
    <n v="2.2599999999999998"/>
    <n v="1603.21"/>
    <n v="5.88"/>
    <n v="1.1299999999999999"/>
    <n v="0"/>
    <n v="0"/>
  </r>
  <r>
    <n v="176"/>
    <x v="175"/>
    <x v="1"/>
    <x v="0"/>
    <s v="Yes"/>
    <x v="174"/>
    <n v="19.75"/>
    <n v="47.29"/>
    <n v="1.76"/>
    <n v="1318.63"/>
    <n v="6.97"/>
    <n v="1.06"/>
    <n v="0"/>
    <n v="0"/>
  </r>
  <r>
    <n v="177"/>
    <x v="176"/>
    <x v="1"/>
    <x v="0"/>
    <s v="Yes"/>
    <x v="175"/>
    <n v="21.48"/>
    <n v="50.25"/>
    <n v="1.42"/>
    <n v="1147.67"/>
    <n v="9.7899999999999991"/>
    <n v="1.1200000000000001"/>
    <n v="0"/>
    <n v="0"/>
  </r>
  <r>
    <n v="178"/>
    <x v="177"/>
    <x v="1"/>
    <x v="0"/>
    <s v="Yes"/>
    <x v="176"/>
    <n v="20.59"/>
    <n v="42.13"/>
    <n v="1.93"/>
    <n v="1557.75"/>
    <n v="7.45"/>
    <n v="0.71"/>
    <n v="0"/>
    <n v="0"/>
  </r>
  <r>
    <n v="179"/>
    <x v="178"/>
    <x v="1"/>
    <x v="0"/>
    <s v="Yes"/>
    <x v="177"/>
    <n v="21.97"/>
    <n v="40"/>
    <n v="1.55"/>
    <n v="1658.67"/>
    <n v="10.85"/>
    <n v="1.1000000000000001"/>
    <n v="0"/>
    <n v="0"/>
  </r>
  <r>
    <n v="180"/>
    <x v="179"/>
    <x v="1"/>
    <x v="0"/>
    <s v="Yes"/>
    <x v="178"/>
    <n v="21.54"/>
    <n v="66.42"/>
    <n v="1.87"/>
    <n v="1123.04"/>
    <n v="13.4"/>
    <n v="0.56000000000000005"/>
    <n v="1"/>
    <n v="0"/>
  </r>
  <r>
    <n v="181"/>
    <x v="180"/>
    <x v="1"/>
    <x v="0"/>
    <s v="Yes"/>
    <x v="179"/>
    <n v="20.54"/>
    <n v="69.75"/>
    <n v="1.78"/>
    <n v="945.92"/>
    <n v="14.38"/>
    <n v="0.9"/>
    <n v="0"/>
    <n v="0"/>
  </r>
  <r>
    <n v="182"/>
    <x v="181"/>
    <x v="1"/>
    <x v="0"/>
    <s v="Yes"/>
    <x v="180"/>
    <n v="20.53"/>
    <n v="61.21"/>
    <n v="1.94"/>
    <n v="1246.21"/>
    <n v="11.49"/>
    <n v="1.1200000000000001"/>
    <n v="0"/>
    <n v="0"/>
  </r>
  <r>
    <n v="183"/>
    <x v="182"/>
    <x v="2"/>
    <x v="0"/>
    <s v="Yes"/>
    <x v="181"/>
    <n v="23.71"/>
    <n v="50.13"/>
    <n v="1.95"/>
    <n v="1598.17"/>
    <n v="11.86"/>
    <n v="1.1599999999999999"/>
    <n v="0"/>
    <n v="0"/>
  </r>
  <r>
    <n v="184"/>
    <x v="183"/>
    <x v="2"/>
    <x v="0"/>
    <s v="Yes"/>
    <x v="182"/>
    <n v="23.51"/>
    <n v="43.88"/>
    <n v="1.94"/>
    <n v="1570.71"/>
    <n v="9.06"/>
    <n v="1.19"/>
    <n v="0"/>
    <n v="0"/>
  </r>
  <r>
    <n v="185"/>
    <x v="184"/>
    <x v="2"/>
    <x v="0"/>
    <s v="Yes"/>
    <x v="183"/>
    <n v="23.71"/>
    <n v="41.17"/>
    <n v="1.69"/>
    <n v="1834.83"/>
    <n v="8.6300000000000008"/>
    <n v="1.1299999999999999"/>
    <n v="0"/>
    <n v="0"/>
  </r>
  <r>
    <n v="186"/>
    <x v="185"/>
    <x v="2"/>
    <x v="0"/>
    <s v="Yes"/>
    <x v="184"/>
    <n v="22.88"/>
    <n v="47.67"/>
    <n v="1.76"/>
    <n v="1670.58"/>
    <n v="10.84"/>
    <n v="0.88"/>
    <n v="0"/>
    <n v="0"/>
  </r>
  <r>
    <n v="187"/>
    <x v="186"/>
    <x v="2"/>
    <x v="0"/>
    <s v="Yes"/>
    <x v="185"/>
    <n v="23.57"/>
    <n v="52.21"/>
    <n v="1.73"/>
    <n v="1398.21"/>
    <n v="12.51"/>
    <n v="1.01"/>
    <n v="0"/>
    <n v="0"/>
  </r>
  <r>
    <n v="188"/>
    <x v="187"/>
    <x v="2"/>
    <x v="1"/>
    <s v="Yes"/>
    <x v="186"/>
    <n v="23.09"/>
    <n v="60.38"/>
    <n v="2.09"/>
    <n v="1029.75"/>
    <n v="14.73"/>
    <n v="1.1100000000000001"/>
    <n v="0"/>
    <n v="0"/>
  </r>
  <r>
    <n v="189"/>
    <x v="188"/>
    <x v="2"/>
    <x v="0"/>
    <s v="Yes"/>
    <x v="187"/>
    <n v="22.3"/>
    <n v="69.290000000000006"/>
    <n v="1.94"/>
    <n v="673.92"/>
    <n v="15.8"/>
    <n v="1"/>
    <n v="0"/>
    <n v="0"/>
  </r>
  <r>
    <n v="190"/>
    <x v="189"/>
    <x v="2"/>
    <x v="0"/>
    <s v="Yes"/>
    <x v="188"/>
    <n v="21.74"/>
    <n v="68.459999999999994"/>
    <n v="2.06"/>
    <n v="1055.6300000000001"/>
    <n v="15.34"/>
    <n v="0.77"/>
    <n v="0"/>
    <n v="0"/>
  </r>
  <r>
    <n v="191"/>
    <x v="190"/>
    <x v="2"/>
    <x v="0"/>
    <s v="Yes"/>
    <x v="189"/>
    <n v="23.68"/>
    <n v="61.29"/>
    <n v="1.38"/>
    <n v="1225"/>
    <n v="14.98"/>
    <n v="0.84"/>
    <n v="0.5"/>
    <n v="0"/>
  </r>
  <r>
    <n v="192"/>
    <x v="191"/>
    <x v="2"/>
    <x v="0"/>
    <s v="Yes"/>
    <x v="190"/>
    <n v="21.3"/>
    <n v="60.13"/>
    <n v="1.38"/>
    <n v="1997"/>
    <n v="13.01"/>
    <n v="0.53"/>
    <n v="0.5"/>
    <n v="0"/>
  </r>
  <r>
    <n v="193"/>
    <x v="192"/>
    <x v="2"/>
    <x v="0"/>
    <s v="Yes"/>
    <x v="191"/>
    <n v="20.56"/>
    <n v="63.38"/>
    <n v="1.42"/>
    <n v="1912.79"/>
    <n v="13"/>
    <n v="0.47"/>
    <n v="4"/>
    <n v="0"/>
  </r>
  <r>
    <n v="194"/>
    <x v="193"/>
    <x v="2"/>
    <x v="0"/>
    <s v="Yes"/>
    <x v="192"/>
    <n v="21.18"/>
    <n v="66.25"/>
    <n v="1.66"/>
    <n v="1975.88"/>
    <n v="14.05"/>
    <n v="0.98"/>
    <n v="1"/>
    <n v="0"/>
  </r>
  <r>
    <n v="195"/>
    <x v="194"/>
    <x v="2"/>
    <x v="0"/>
    <s v="Yes"/>
    <x v="193"/>
    <n v="21.98"/>
    <n v="63.71"/>
    <n v="1.46"/>
    <n v="1475.29"/>
    <n v="14.53"/>
    <n v="0.66"/>
    <n v="0"/>
    <n v="0"/>
  </r>
  <r>
    <n v="196"/>
    <x v="195"/>
    <x v="2"/>
    <x v="0"/>
    <s v="Yes"/>
    <x v="194"/>
    <n v="21.65"/>
    <n v="74.38"/>
    <n v="1.1100000000000001"/>
    <n v="1117.71"/>
    <n v="16.62"/>
    <n v="0.43"/>
    <n v="29"/>
    <n v="0"/>
  </r>
  <r>
    <n v="197"/>
    <x v="196"/>
    <x v="2"/>
    <x v="0"/>
    <s v="Yes"/>
    <x v="195"/>
    <n v="21.86"/>
    <n v="60.75"/>
    <n v="1.4"/>
    <n v="1859.96"/>
    <n v="13.37"/>
    <n v="0.99"/>
    <n v="16.5"/>
    <n v="0"/>
  </r>
  <r>
    <n v="198"/>
    <x v="197"/>
    <x v="2"/>
    <x v="0"/>
    <s v="Yes"/>
    <x v="196"/>
    <n v="22.3"/>
    <n v="54.13"/>
    <n v="1.48"/>
    <n v="1880.83"/>
    <n v="12.2"/>
    <n v="1.17"/>
    <n v="0"/>
    <n v="0"/>
  </r>
  <r>
    <n v="199"/>
    <x v="198"/>
    <x v="2"/>
    <x v="0"/>
    <s v="Yes"/>
    <x v="197"/>
    <n v="22.73"/>
    <n v="67.13"/>
    <n v="1.43"/>
    <n v="812.71"/>
    <n v="16.02"/>
    <n v="0.62"/>
    <n v="0"/>
    <n v="0"/>
  </r>
  <r>
    <n v="200"/>
    <x v="199"/>
    <x v="2"/>
    <x v="0"/>
    <s v="Yes"/>
    <x v="198"/>
    <n v="24.8"/>
    <n v="55.88"/>
    <n v="1.53"/>
    <n v="1225.17"/>
    <n v="14.57"/>
    <n v="1.0900000000000001"/>
    <n v="0"/>
    <n v="0"/>
  </r>
  <r>
    <n v="201"/>
    <x v="200"/>
    <x v="2"/>
    <x v="0"/>
    <s v="Yes"/>
    <x v="199"/>
    <n v="22.59"/>
    <n v="61.17"/>
    <n v="1.75"/>
    <n v="1209.75"/>
    <n v="14.4"/>
    <n v="0.74"/>
    <n v="0"/>
    <n v="0"/>
  </r>
  <r>
    <n v="202"/>
    <x v="201"/>
    <x v="2"/>
    <x v="0"/>
    <s v="Yes"/>
    <x v="200"/>
    <n v="22.7"/>
    <n v="67.25"/>
    <n v="2.4900000000000002"/>
    <n v="859.92"/>
    <n v="15.91"/>
    <n v="1.02"/>
    <n v="0"/>
    <n v="0"/>
  </r>
  <r>
    <n v="203"/>
    <x v="202"/>
    <x v="2"/>
    <x v="0"/>
    <s v="Yes"/>
    <x v="201"/>
    <n v="23.64"/>
    <n v="60.96"/>
    <n v="2.15"/>
    <n v="1155.67"/>
    <n v="14.95"/>
    <n v="1.18"/>
    <n v="0"/>
    <n v="0"/>
  </r>
  <r>
    <n v="204"/>
    <x v="203"/>
    <x v="2"/>
    <x v="0"/>
    <s v="Yes"/>
    <x v="202"/>
    <n v="24.69"/>
    <n v="47.92"/>
    <n v="1.73"/>
    <n v="1303.29"/>
    <n v="11.15"/>
    <n v="1.1399999999999999"/>
    <n v="0"/>
    <n v="0"/>
  </r>
  <r>
    <n v="205"/>
    <x v="204"/>
    <x v="2"/>
    <x v="0"/>
    <s v="Yes"/>
    <x v="203"/>
    <n v="24.57"/>
    <n v="47.58"/>
    <n v="1.94"/>
    <n v="1530.08"/>
    <n v="12.2"/>
    <n v="0.92"/>
    <n v="0"/>
    <n v="0"/>
  </r>
  <r>
    <n v="206"/>
    <x v="205"/>
    <x v="2"/>
    <x v="0"/>
    <s v="Yes"/>
    <x v="204"/>
    <n v="25.15"/>
    <n v="62.13"/>
    <n v="1.9"/>
    <n v="865.25"/>
    <n v="16.13"/>
    <n v="1.07"/>
    <n v="0"/>
    <n v="0"/>
  </r>
  <r>
    <n v="207"/>
    <x v="206"/>
    <x v="2"/>
    <x v="0"/>
    <s v="Yes"/>
    <x v="205"/>
    <n v="26.72"/>
    <n v="58.46"/>
    <n v="1.1499999999999999"/>
    <n v="896.83"/>
    <n v="17.05"/>
    <n v="0.85"/>
    <n v="0"/>
    <n v="0"/>
  </r>
  <r>
    <n v="208"/>
    <x v="207"/>
    <x v="2"/>
    <x v="0"/>
    <s v="Yes"/>
    <x v="206"/>
    <n v="22.9"/>
    <n v="84.13"/>
    <n v="2.23"/>
    <n v="453.71"/>
    <n v="19.59"/>
    <n v="0.05"/>
    <n v="71.5"/>
    <n v="0"/>
  </r>
  <r>
    <n v="209"/>
    <x v="208"/>
    <x v="2"/>
    <x v="0"/>
    <s v="Yes"/>
    <x v="207"/>
    <n v="22.19"/>
    <n v="83"/>
    <n v="1.96"/>
    <n v="618"/>
    <n v="18.93"/>
    <n v="0.56999999999999995"/>
    <n v="1"/>
    <n v="0"/>
  </r>
  <r>
    <n v="210"/>
    <x v="209"/>
    <x v="2"/>
    <x v="0"/>
    <s v="Yes"/>
    <x v="208"/>
    <n v="23.39"/>
    <n v="83.46"/>
    <n v="1.17"/>
    <n v="973.33"/>
    <n v="20.23"/>
    <n v="0.39"/>
    <n v="26.5"/>
    <n v="0"/>
  </r>
  <r>
    <n v="211"/>
    <x v="210"/>
    <x v="2"/>
    <x v="0"/>
    <s v="Yes"/>
    <x v="209"/>
    <n v="24.66"/>
    <n v="79.25"/>
    <n v="1.48"/>
    <n v="563.88"/>
    <n v="20.440000000000001"/>
    <n v="0.78"/>
    <n v="6.5"/>
    <n v="0"/>
  </r>
  <r>
    <n v="212"/>
    <x v="211"/>
    <x v="2"/>
    <x v="0"/>
    <s v="Yes"/>
    <x v="210"/>
    <n v="24.35"/>
    <n v="83.08"/>
    <n v="0.91"/>
    <n v="603.5"/>
    <n v="21.16"/>
    <n v="0.37"/>
    <n v="14.5"/>
    <n v="0"/>
  </r>
  <r>
    <n v="213"/>
    <x v="212"/>
    <x v="2"/>
    <x v="0"/>
    <s v="Yes"/>
    <x v="211"/>
    <n v="22.03"/>
    <n v="93.46"/>
    <n v="0.78"/>
    <n v="933.79"/>
    <n v="20.83"/>
    <n v="0.09"/>
    <n v="81"/>
    <n v="0"/>
  </r>
  <r>
    <n v="214"/>
    <x v="213"/>
    <x v="2"/>
    <x v="0"/>
    <s v="Yes"/>
    <x v="212"/>
    <n v="22.44"/>
    <n v="95.42"/>
    <n v="0.8"/>
    <n v="1055.46"/>
    <n v="21.58"/>
    <n v="0.2"/>
    <n v="61.5"/>
    <n v="0"/>
  </r>
  <r>
    <n v="215"/>
    <x v="214"/>
    <x v="2"/>
    <x v="0"/>
    <s v="Yes"/>
    <x v="213"/>
    <n v="27.12"/>
    <n v="75.5"/>
    <n v="0.78"/>
    <n v="1792.46"/>
    <n v="21.88"/>
    <n v="0.95"/>
    <n v="0.6"/>
    <n v="0"/>
  </r>
  <r>
    <n v="216"/>
    <x v="215"/>
    <x v="2"/>
    <x v="0"/>
    <s v="Yes"/>
    <x v="214"/>
    <n v="27.46"/>
    <n v="69.33"/>
    <n v="1.66"/>
    <n v="1868.42"/>
    <n v="21.1"/>
    <n v="0.93"/>
    <n v="0"/>
    <n v="0"/>
  </r>
  <r>
    <n v="217"/>
    <x v="216"/>
    <x v="2"/>
    <x v="0"/>
    <s v="Yes"/>
    <x v="215"/>
    <n v="25.39"/>
    <n v="74.709999999999994"/>
    <n v="1.2"/>
    <n v="1377.54"/>
    <n v="20.43"/>
    <n v="0.45"/>
    <n v="0.5"/>
    <n v="0"/>
  </r>
  <r>
    <n v="218"/>
    <x v="217"/>
    <x v="2"/>
    <x v="0"/>
    <s v="Yes"/>
    <x v="216"/>
    <n v="24.06"/>
    <n v="58.42"/>
    <n v="1.85"/>
    <n v="2000"/>
    <n v="15.27"/>
    <n v="0.66"/>
    <n v="0"/>
    <n v="0"/>
  </r>
  <r>
    <n v="219"/>
    <x v="218"/>
    <x v="2"/>
    <x v="0"/>
    <s v="Yes"/>
    <x v="217"/>
    <n v="23.76"/>
    <n v="51.75"/>
    <n v="1.58"/>
    <n v="1996.79"/>
    <n v="13.05"/>
    <n v="1.1399999999999999"/>
    <n v="0"/>
    <n v="0"/>
  </r>
  <r>
    <n v="220"/>
    <x v="219"/>
    <x v="2"/>
    <x v="0"/>
    <s v="Yes"/>
    <x v="218"/>
    <n v="23"/>
    <n v="50.58"/>
    <n v="1.52"/>
    <n v="1989.54"/>
    <n v="12"/>
    <n v="1"/>
    <n v="0"/>
    <n v="0"/>
  </r>
  <r>
    <n v="221"/>
    <x v="220"/>
    <x v="2"/>
    <x v="0"/>
    <s v="Yes"/>
    <x v="219"/>
    <n v="21.02"/>
    <n v="79.63"/>
    <n v="1.0900000000000001"/>
    <n v="1718.46"/>
    <n v="17.09"/>
    <n v="0.17"/>
    <n v="8.5"/>
    <n v="0"/>
  </r>
  <r>
    <n v="222"/>
    <x v="221"/>
    <x v="2"/>
    <x v="0"/>
    <s v="Yes"/>
    <x v="220"/>
    <n v="23.34"/>
    <n v="87.17"/>
    <n v="0.66"/>
    <n v="1466.04"/>
    <n v="20.95"/>
    <n v="0.25"/>
    <n v="21.5"/>
    <n v="0"/>
  </r>
  <r>
    <n v="223"/>
    <x v="222"/>
    <x v="2"/>
    <x v="0"/>
    <s v="Yes"/>
    <x v="221"/>
    <n v="26.62"/>
    <n v="84"/>
    <n v="1.31"/>
    <n v="1017.63"/>
    <n v="23.46"/>
    <n v="0.36"/>
    <n v="3.5"/>
    <n v="0"/>
  </r>
  <r>
    <n v="224"/>
    <x v="223"/>
    <x v="2"/>
    <x v="0"/>
    <s v="Yes"/>
    <x v="222"/>
    <n v="26.78"/>
    <n v="81.42"/>
    <n v="1.54"/>
    <n v="1369.38"/>
    <n v="23.23"/>
    <n v="0.41"/>
    <n v="1"/>
    <n v="0"/>
  </r>
  <r>
    <n v="225"/>
    <x v="224"/>
    <x v="2"/>
    <x v="0"/>
    <s v="Yes"/>
    <x v="223"/>
    <n v="27.17"/>
    <n v="75.83"/>
    <n v="1.85"/>
    <n v="1591.96"/>
    <n v="22.33"/>
    <n v="0.65"/>
    <n v="0"/>
    <n v="0"/>
  </r>
  <r>
    <n v="226"/>
    <x v="225"/>
    <x v="2"/>
    <x v="0"/>
    <s v="Yes"/>
    <x v="224"/>
    <n v="27.91"/>
    <n v="70.17"/>
    <n v="1.83"/>
    <n v="1624.38"/>
    <n v="21.66"/>
    <n v="0.9"/>
    <n v="0"/>
    <n v="0"/>
  </r>
  <r>
    <n v="227"/>
    <x v="226"/>
    <x v="2"/>
    <x v="0"/>
    <s v="Yes"/>
    <x v="225"/>
    <n v="28.27"/>
    <n v="69.92"/>
    <n v="1.63"/>
    <n v="1604.46"/>
    <n v="21.87"/>
    <n v="0.95"/>
    <n v="0"/>
    <n v="0"/>
  </r>
  <r>
    <n v="228"/>
    <x v="227"/>
    <x v="2"/>
    <x v="0"/>
    <s v="Yes"/>
    <x v="226"/>
    <n v="28.73"/>
    <n v="64.33"/>
    <n v="1.72"/>
    <n v="1722.25"/>
    <n v="20.77"/>
    <n v="1.1100000000000001"/>
    <n v="0"/>
    <n v="0"/>
  </r>
  <r>
    <n v="229"/>
    <x v="228"/>
    <x v="2"/>
    <x v="0"/>
    <s v="Yes"/>
    <x v="227"/>
    <n v="28.08"/>
    <n v="65.42"/>
    <n v="1.75"/>
    <n v="1398.5"/>
    <n v="20.65"/>
    <n v="1.07"/>
    <n v="0"/>
    <n v="0"/>
  </r>
  <r>
    <n v="230"/>
    <x v="229"/>
    <x v="2"/>
    <x v="0"/>
    <s v="Yes"/>
    <x v="228"/>
    <n v="28.23"/>
    <n v="65.209999999999994"/>
    <n v="1.4"/>
    <n v="1003.42"/>
    <n v="20.59"/>
    <n v="1.05"/>
    <n v="0"/>
    <n v="0"/>
  </r>
  <r>
    <n v="231"/>
    <x v="230"/>
    <x v="2"/>
    <x v="0"/>
    <s v="Yes"/>
    <x v="229"/>
    <n v="28.56"/>
    <n v="64.25"/>
    <n v="1.72"/>
    <n v="1330.79"/>
    <n v="20.55"/>
    <n v="1.1599999999999999"/>
    <n v="0"/>
    <n v="0"/>
  </r>
  <r>
    <n v="232"/>
    <x v="231"/>
    <x v="2"/>
    <x v="0"/>
    <s v="Yes"/>
    <x v="230"/>
    <n v="29.4"/>
    <n v="63.42"/>
    <n v="1.43"/>
    <n v="1336.29"/>
    <n v="21.17"/>
    <n v="1.07"/>
    <n v="0"/>
    <n v="0"/>
  </r>
  <r>
    <n v="233"/>
    <x v="232"/>
    <x v="2"/>
    <x v="0"/>
    <s v="Yes"/>
    <x v="231"/>
    <n v="30.53"/>
    <n v="55.25"/>
    <n v="1.47"/>
    <n v="1586.33"/>
    <n v="19.7"/>
    <n v="1.1100000000000001"/>
    <n v="0"/>
    <n v="0"/>
  </r>
  <r>
    <n v="234"/>
    <x v="233"/>
    <x v="2"/>
    <x v="0"/>
    <s v="Yes"/>
    <x v="232"/>
    <n v="31.55"/>
    <n v="50.92"/>
    <n v="1.4"/>
    <n v="1874.29"/>
    <n v="19.46"/>
    <n v="1.06"/>
    <n v="0"/>
    <n v="0"/>
  </r>
  <r>
    <n v="235"/>
    <x v="234"/>
    <x v="2"/>
    <x v="0"/>
    <s v="Yes"/>
    <x v="233"/>
    <n v="31.62"/>
    <n v="52.83"/>
    <n v="1.89"/>
    <n v="1893.25"/>
    <n v="20.69"/>
    <n v="0.79"/>
    <n v="0"/>
    <n v="0"/>
  </r>
  <r>
    <n v="236"/>
    <x v="235"/>
    <x v="2"/>
    <x v="0"/>
    <s v="Yes"/>
    <x v="234"/>
    <n v="31.43"/>
    <n v="58.5"/>
    <n v="1.53"/>
    <n v="1663.71"/>
    <n v="22.06"/>
    <n v="0.77"/>
    <n v="0"/>
    <n v="0"/>
  </r>
  <r>
    <n v="237"/>
    <x v="236"/>
    <x v="2"/>
    <x v="0"/>
    <s v="Yes"/>
    <x v="235"/>
    <n v="30.29"/>
    <n v="65.17"/>
    <n v="2.4500000000000002"/>
    <n v="1490.63"/>
    <n v="22.83"/>
    <n v="0.6"/>
    <n v="0"/>
    <n v="0"/>
  </r>
  <r>
    <n v="238"/>
    <x v="237"/>
    <x v="2"/>
    <x v="0"/>
    <s v="Yes"/>
    <x v="236"/>
    <n v="30"/>
    <n v="68.92"/>
    <n v="1.44"/>
    <n v="1090.67"/>
    <n v="23.46"/>
    <n v="0.51"/>
    <n v="0"/>
    <n v="0"/>
  </r>
  <r>
    <n v="239"/>
    <x v="238"/>
    <x v="2"/>
    <x v="0"/>
    <s v="Yes"/>
    <x v="237"/>
    <n v="30.76"/>
    <n v="69.459999999999994"/>
    <n v="1.71"/>
    <n v="954.08"/>
    <n v="24.2"/>
    <n v="0.8"/>
    <n v="0"/>
    <n v="0"/>
  </r>
  <r>
    <n v="240"/>
    <x v="239"/>
    <x v="2"/>
    <x v="0"/>
    <s v="Yes"/>
    <x v="238"/>
    <n v="29.82"/>
    <n v="76.290000000000006"/>
    <n v="1.24"/>
    <n v="1015.92"/>
    <n v="25.04"/>
    <n v="0.4"/>
    <n v="7.5"/>
    <n v="0"/>
  </r>
  <r>
    <n v="241"/>
    <x v="240"/>
    <x v="2"/>
    <x v="0"/>
    <s v="Yes"/>
    <x v="239"/>
    <n v="31.23"/>
    <n v="53.67"/>
    <n v="1.25"/>
    <n v="1934.38"/>
    <n v="20.02"/>
    <n v="0.93"/>
    <n v="0"/>
    <n v="0"/>
  </r>
  <r>
    <n v="242"/>
    <x v="241"/>
    <x v="2"/>
    <x v="0"/>
    <s v="Yes"/>
    <x v="240"/>
    <n v="31.56"/>
    <n v="50.33"/>
    <n v="1.23"/>
    <n v="1998.33"/>
    <n v="19.72"/>
    <n v="0.82"/>
    <n v="0"/>
    <n v="0"/>
  </r>
  <r>
    <n v="243"/>
    <x v="242"/>
    <x v="2"/>
    <x v="0"/>
    <s v="Yes"/>
    <x v="241"/>
    <n v="32.53"/>
    <n v="49.63"/>
    <n v="1.38"/>
    <n v="1993.79"/>
    <n v="20.22"/>
    <n v="1.02"/>
    <n v="0"/>
    <n v="0"/>
  </r>
  <r>
    <n v="244"/>
    <x v="243"/>
    <x v="2"/>
    <x v="0"/>
    <s v="Yes"/>
    <x v="242"/>
    <n v="33.43"/>
    <n v="55.79"/>
    <n v="1.68"/>
    <n v="1853.46"/>
    <n v="22.83"/>
    <n v="1.07"/>
    <n v="0"/>
    <n v="0"/>
  </r>
  <r>
    <n v="245"/>
    <x v="244"/>
    <x v="2"/>
    <x v="0"/>
    <s v="Yes"/>
    <x v="243"/>
    <n v="33.74"/>
    <n v="53.42"/>
    <n v="1.54"/>
    <n v="1699.38"/>
    <n v="22.63"/>
    <n v="0.77"/>
    <n v="0"/>
    <n v="0"/>
  </r>
  <r>
    <n v="246"/>
    <x v="245"/>
    <x v="2"/>
    <x v="0"/>
    <s v="Yes"/>
    <x v="244"/>
    <n v="33.21"/>
    <n v="56.13"/>
    <n v="1.79"/>
    <n v="1509.83"/>
    <n v="22.93"/>
    <n v="0.88"/>
    <n v="0"/>
    <n v="0"/>
  </r>
  <r>
    <n v="247"/>
    <x v="246"/>
    <x v="2"/>
    <x v="0"/>
    <s v="Yes"/>
    <x v="245"/>
    <n v="31.2"/>
    <n v="59.04"/>
    <n v="2.4500000000000002"/>
    <n v="1803.46"/>
    <n v="22.05"/>
    <n v="0.85"/>
    <n v="0"/>
    <n v="0"/>
  </r>
  <r>
    <n v="248"/>
    <x v="247"/>
    <x v="2"/>
    <x v="0"/>
    <s v="Yes"/>
    <x v="246"/>
    <n v="29.83"/>
    <n v="73.209999999999994"/>
    <n v="2.65"/>
    <n v="1408.54"/>
    <n v="24.22"/>
    <n v="0.86"/>
    <n v="2"/>
    <n v="0"/>
  </r>
  <r>
    <n v="249"/>
    <x v="248"/>
    <x v="2"/>
    <x v="0"/>
    <s v="Yes"/>
    <x v="247"/>
    <n v="30.73"/>
    <n v="71.709999999999994"/>
    <n v="1.6"/>
    <n v="1292.25"/>
    <n v="24.75"/>
    <n v="0.74"/>
    <n v="6.5"/>
    <n v="0"/>
  </r>
  <r>
    <n v="250"/>
    <x v="249"/>
    <x v="2"/>
    <x v="0"/>
    <s v="Yes"/>
    <x v="248"/>
    <n v="30.52"/>
    <n v="62.46"/>
    <n v="1.43"/>
    <n v="1881.71"/>
    <n v="22.25"/>
    <n v="0.65"/>
    <n v="0"/>
    <n v="0"/>
  </r>
  <r>
    <n v="251"/>
    <x v="250"/>
    <x v="2"/>
    <x v="0"/>
    <s v="Yes"/>
    <x v="249"/>
    <n v="30.92"/>
    <n v="65.790000000000006"/>
    <n v="1.93"/>
    <n v="1560.21"/>
    <n v="23.17"/>
    <n v="0.86"/>
    <n v="0"/>
    <n v="0"/>
  </r>
  <r>
    <n v="252"/>
    <x v="251"/>
    <x v="2"/>
    <x v="0"/>
    <s v="Yes"/>
    <x v="250"/>
    <n v="28.97"/>
    <n v="76.17"/>
    <n v="1.66"/>
    <n v="1559.71"/>
    <n v="24.22"/>
    <n v="0.46"/>
    <n v="2"/>
    <n v="0"/>
  </r>
  <r>
    <n v="253"/>
    <x v="252"/>
    <x v="2"/>
    <x v="0"/>
    <s v="Yes"/>
    <x v="251"/>
    <n v="30.58"/>
    <n v="61.67"/>
    <n v="1.31"/>
    <n v="1766.17"/>
    <n v="21.69"/>
    <n v="0.91"/>
    <n v="0"/>
    <n v="0"/>
  </r>
  <r>
    <n v="254"/>
    <x v="253"/>
    <x v="2"/>
    <x v="0"/>
    <s v="Yes"/>
    <x v="252"/>
    <n v="31.08"/>
    <n v="55.08"/>
    <n v="1.61"/>
    <n v="1986.88"/>
    <n v="20.58"/>
    <n v="0.89"/>
    <n v="0"/>
    <n v="0"/>
  </r>
  <r>
    <n v="255"/>
    <x v="254"/>
    <x v="2"/>
    <x v="0"/>
    <s v="Yes"/>
    <x v="253"/>
    <n v="30.69"/>
    <n v="59.63"/>
    <n v="1.5"/>
    <n v="1846.71"/>
    <n v="21.52"/>
    <n v="0.76"/>
    <n v="5"/>
    <n v="0"/>
  </r>
  <r>
    <n v="256"/>
    <x v="255"/>
    <x v="2"/>
    <x v="0"/>
    <s v="Yes"/>
    <x v="254"/>
    <n v="30.27"/>
    <n v="69.38"/>
    <n v="1.43"/>
    <n v="1361.92"/>
    <n v="23.64"/>
    <n v="0.51"/>
    <n v="1"/>
    <n v="0"/>
  </r>
  <r>
    <n v="257"/>
    <x v="256"/>
    <x v="2"/>
    <x v="0"/>
    <s v="Yes"/>
    <x v="255"/>
    <n v="31.5"/>
    <n v="58.71"/>
    <n v="1.39"/>
    <n v="1952.96"/>
    <n v="22.02"/>
    <n v="0.77"/>
    <n v="0"/>
    <n v="0"/>
  </r>
  <r>
    <n v="258"/>
    <x v="257"/>
    <x v="2"/>
    <x v="1"/>
    <s v="Yes"/>
    <x v="256"/>
    <n v="31.55"/>
    <n v="59.75"/>
    <n v="1.1200000000000001"/>
    <n v="1909.29"/>
    <n v="22.23"/>
    <n v="0.77"/>
    <n v="1"/>
    <n v="0"/>
  </r>
  <r>
    <n v="259"/>
    <x v="258"/>
    <x v="2"/>
    <x v="0"/>
    <s v="Yes"/>
    <x v="257"/>
    <n v="30.15"/>
    <n v="53.17"/>
    <n v="1.63"/>
    <n v="1996.13"/>
    <n v="19.04"/>
    <n v="1.04"/>
    <n v="0"/>
    <n v="0"/>
  </r>
  <r>
    <n v="260"/>
    <x v="259"/>
    <x v="2"/>
    <x v="0"/>
    <s v="Yes"/>
    <x v="258"/>
    <n v="27.08"/>
    <n v="39.83"/>
    <n v="1.8"/>
    <n v="1986.21"/>
    <n v="11.67"/>
    <n v="1.0900000000000001"/>
    <n v="0"/>
    <n v="0"/>
  </r>
  <r>
    <n v="261"/>
    <x v="260"/>
    <x v="2"/>
    <x v="0"/>
    <s v="Yes"/>
    <x v="259"/>
    <n v="26.55"/>
    <n v="44.54"/>
    <n v="1.4"/>
    <n v="1982.46"/>
    <n v="13.03"/>
    <n v="0.97"/>
    <n v="0"/>
    <n v="0"/>
  </r>
  <r>
    <n v="262"/>
    <x v="261"/>
    <x v="2"/>
    <x v="0"/>
    <s v="Yes"/>
    <x v="260"/>
    <n v="27.86"/>
    <n v="50.58"/>
    <n v="1.23"/>
    <n v="1982.04"/>
    <n v="16.09"/>
    <n v="0.82"/>
    <n v="0"/>
    <n v="0"/>
  </r>
  <r>
    <n v="263"/>
    <x v="262"/>
    <x v="2"/>
    <x v="0"/>
    <s v="Yes"/>
    <x v="261"/>
    <n v="28.95"/>
    <n v="55.79"/>
    <n v="1.98"/>
    <n v="1781.67"/>
    <n v="18.97"/>
    <n v="0.63"/>
    <n v="0"/>
    <n v="0"/>
  </r>
  <r>
    <n v="264"/>
    <x v="263"/>
    <x v="2"/>
    <x v="0"/>
    <s v="Yes"/>
    <x v="262"/>
    <n v="26.78"/>
    <n v="70.17"/>
    <n v="2.76"/>
    <n v="1746.38"/>
    <n v="20.58"/>
    <n v="0.54"/>
    <n v="5"/>
    <n v="0"/>
  </r>
  <r>
    <n v="265"/>
    <x v="264"/>
    <x v="2"/>
    <x v="0"/>
    <s v="Yes"/>
    <x v="263"/>
    <n v="30.22"/>
    <n v="56.75"/>
    <n v="1.1499999999999999"/>
    <n v="1962.79"/>
    <n v="19.809999999999999"/>
    <n v="0.93"/>
    <n v="0"/>
    <n v="0"/>
  </r>
  <r>
    <n v="266"/>
    <x v="265"/>
    <x v="2"/>
    <x v="0"/>
    <s v="Yes"/>
    <x v="264"/>
    <n v="29.6"/>
    <n v="58.25"/>
    <n v="1.66"/>
    <n v="1980.08"/>
    <n v="20.309999999999999"/>
    <n v="0.39"/>
    <n v="2.5"/>
    <n v="0"/>
  </r>
  <r>
    <n v="267"/>
    <x v="266"/>
    <x v="2"/>
    <x v="0"/>
    <s v="Yes"/>
    <x v="265"/>
    <n v="24.63"/>
    <n v="84.58"/>
    <n v="2.4300000000000002"/>
    <n v="1768.17"/>
    <n v="21.76"/>
    <n v="0.24"/>
    <n v="8"/>
    <n v="0"/>
  </r>
  <r>
    <n v="268"/>
    <x v="267"/>
    <x v="2"/>
    <x v="0"/>
    <s v="Yes"/>
    <x v="266"/>
    <n v="25.22"/>
    <n v="68.790000000000006"/>
    <n v="2.5499999999999998"/>
    <n v="1799.63"/>
    <n v="18.809999999999999"/>
    <n v="0.68"/>
    <n v="0"/>
    <n v="0"/>
  </r>
  <r>
    <n v="269"/>
    <x v="268"/>
    <x v="2"/>
    <x v="0"/>
    <s v="Yes"/>
    <x v="267"/>
    <n v="23.31"/>
    <n v="70.17"/>
    <n v="1.3"/>
    <n v="1769.88"/>
    <n v="17.170000000000002"/>
    <n v="0.56000000000000005"/>
    <n v="2"/>
    <n v="0"/>
  </r>
  <r>
    <n v="270"/>
    <x v="269"/>
    <x v="2"/>
    <x v="0"/>
    <s v="Yes"/>
    <x v="268"/>
    <n v="22.43"/>
    <n v="91"/>
    <n v="0.86"/>
    <n v="1201.6300000000001"/>
    <n v="20.8"/>
    <n v="0.33"/>
    <n v="19.5"/>
    <n v="0"/>
  </r>
  <r>
    <n v="271"/>
    <x v="270"/>
    <x v="2"/>
    <x v="0"/>
    <s v="Yes"/>
    <x v="269"/>
    <n v="23.82"/>
    <n v="91.88"/>
    <n v="0.99"/>
    <n v="1394.58"/>
    <n v="22.31"/>
    <n v="0.18"/>
    <n v="95.5"/>
    <n v="0"/>
  </r>
  <r>
    <n v="272"/>
    <x v="271"/>
    <x v="2"/>
    <x v="0"/>
    <s v="Yes"/>
    <x v="270"/>
    <n v="25.01"/>
    <n v="86.58"/>
    <n v="2.4300000000000002"/>
    <n v="1642.42"/>
    <n v="22.45"/>
    <n v="0.11"/>
    <n v="43"/>
    <n v="0"/>
  </r>
  <r>
    <n v="273"/>
    <x v="272"/>
    <x v="2"/>
    <x v="0"/>
    <s v="Yes"/>
    <x v="271"/>
    <n v="25.45"/>
    <n v="81.709999999999994"/>
    <n v="1.84"/>
    <n v="1124.83"/>
    <n v="21.87"/>
    <n v="0.36"/>
    <n v="9.5"/>
    <n v="0"/>
  </r>
  <r>
    <n v="274"/>
    <x v="273"/>
    <x v="2"/>
    <x v="0"/>
    <s v="Yes"/>
    <x v="272"/>
    <n v="25.56"/>
    <n v="67.17"/>
    <n v="1.6"/>
    <n v="1609"/>
    <n v="18.489999999999998"/>
    <n v="0.92"/>
    <n v="0.1"/>
    <n v="0"/>
  </r>
  <r>
    <n v="275"/>
    <x v="274"/>
    <x v="3"/>
    <x v="0"/>
    <s v="Yes"/>
    <x v="273"/>
    <n v="25.45"/>
    <n v="61.21"/>
    <n v="1.21"/>
    <n v="1839.08"/>
    <n v="16.73"/>
    <n v="0.88"/>
    <n v="0"/>
    <n v="0"/>
  </r>
  <r>
    <n v="276"/>
    <x v="275"/>
    <x v="3"/>
    <x v="0"/>
    <s v="Yes"/>
    <x v="274"/>
    <n v="24.99"/>
    <n v="54.54"/>
    <n v="1.5"/>
    <n v="1994.04"/>
    <n v="14.92"/>
    <n v="0.85"/>
    <n v="0"/>
    <n v="0"/>
  </r>
  <r>
    <n v="277"/>
    <x v="276"/>
    <x v="3"/>
    <x v="0"/>
    <s v="Yes"/>
    <x v="275"/>
    <n v="23.6"/>
    <n v="82.25"/>
    <n v="1.06"/>
    <n v="1504.42"/>
    <n v="20.18"/>
    <n v="0.14000000000000001"/>
    <n v="34.5"/>
    <n v="0"/>
  </r>
  <r>
    <n v="278"/>
    <x v="277"/>
    <x v="3"/>
    <x v="0"/>
    <s v="Yes"/>
    <x v="276"/>
    <n v="23.25"/>
    <n v="71.63"/>
    <n v="2.17"/>
    <n v="1455.13"/>
    <n v="17.14"/>
    <n v="0.9"/>
    <n v="0"/>
    <n v="0"/>
  </r>
  <r>
    <n v="279"/>
    <x v="278"/>
    <x v="3"/>
    <x v="0"/>
    <s v="Yes"/>
    <x v="277"/>
    <n v="23.84"/>
    <n v="61.79"/>
    <n v="2.5"/>
    <n v="1954.17"/>
    <n v="15.44"/>
    <n v="0.94"/>
    <n v="0"/>
    <n v="0"/>
  </r>
  <r>
    <n v="280"/>
    <x v="279"/>
    <x v="3"/>
    <x v="0"/>
    <s v="Yes"/>
    <x v="278"/>
    <n v="24.25"/>
    <n v="70.790000000000006"/>
    <n v="1.9"/>
    <n v="1635.25"/>
    <n v="18.260000000000002"/>
    <n v="0.46"/>
    <n v="0"/>
    <n v="0"/>
  </r>
  <r>
    <n v="281"/>
    <x v="280"/>
    <x v="3"/>
    <x v="0"/>
    <s v="Yes"/>
    <x v="279"/>
    <n v="22.16"/>
    <n v="56.88"/>
    <n v="2.48"/>
    <n v="1848.71"/>
    <n v="12.65"/>
    <n v="0.82"/>
    <n v="1.5"/>
    <n v="0"/>
  </r>
  <r>
    <n v="282"/>
    <x v="281"/>
    <x v="3"/>
    <x v="0"/>
    <s v="Yes"/>
    <x v="280"/>
    <n v="21.69"/>
    <n v="48.67"/>
    <n v="1.67"/>
    <n v="1982.13"/>
    <n v="9.8000000000000007"/>
    <n v="0.95"/>
    <n v="0"/>
    <n v="0"/>
  </r>
  <r>
    <n v="283"/>
    <x v="282"/>
    <x v="3"/>
    <x v="0"/>
    <s v="Yes"/>
    <x v="281"/>
    <n v="21.96"/>
    <n v="49.46"/>
    <n v="1.23"/>
    <n v="1997.17"/>
    <n v="10.26"/>
    <n v="0.89"/>
    <n v="0"/>
    <n v="0"/>
  </r>
  <r>
    <n v="284"/>
    <x v="283"/>
    <x v="3"/>
    <x v="0"/>
    <s v="Yes"/>
    <x v="282"/>
    <n v="22.95"/>
    <n v="50.08"/>
    <n v="1.56"/>
    <n v="1996.96"/>
    <n v="11.65"/>
    <n v="0.83"/>
    <n v="0"/>
    <n v="0"/>
  </r>
  <r>
    <n v="285"/>
    <x v="284"/>
    <x v="3"/>
    <x v="0"/>
    <s v="Yes"/>
    <x v="283"/>
    <n v="21.57"/>
    <n v="47.96"/>
    <n v="1.48"/>
    <n v="1998.54"/>
    <n v="9.8800000000000008"/>
    <n v="0.74"/>
    <n v="0"/>
    <n v="0"/>
  </r>
  <r>
    <n v="286"/>
    <x v="285"/>
    <x v="3"/>
    <x v="0"/>
    <s v="Yes"/>
    <x v="284"/>
    <n v="22.53"/>
    <n v="51.92"/>
    <n v="1.32"/>
    <n v="1988.79"/>
    <n v="11.91"/>
    <n v="0.85"/>
    <n v="0"/>
    <n v="0"/>
  </r>
  <r>
    <n v="287"/>
    <x v="286"/>
    <x v="3"/>
    <x v="0"/>
    <s v="Yes"/>
    <x v="285"/>
    <n v="23.44"/>
    <n v="62.29"/>
    <n v="1.23"/>
    <n v="1986.21"/>
    <n v="15.63"/>
    <n v="0.54"/>
    <n v="0"/>
    <n v="0"/>
  </r>
  <r>
    <n v="288"/>
    <x v="287"/>
    <x v="3"/>
    <x v="0"/>
    <s v="Yes"/>
    <x v="286"/>
    <n v="23.46"/>
    <n v="67.209999999999994"/>
    <n v="1.3"/>
    <n v="1954.46"/>
    <n v="16.82"/>
    <n v="0.41"/>
    <n v="0.5"/>
    <n v="0"/>
  </r>
  <r>
    <n v="289"/>
    <x v="288"/>
    <x v="3"/>
    <x v="0"/>
    <s v="Yes"/>
    <x v="287"/>
    <n v="23.21"/>
    <n v="75.88"/>
    <n v="0.99"/>
    <n v="1951.33"/>
    <n v="18.579999999999998"/>
    <n v="0.31"/>
    <n v="0.2"/>
    <n v="0"/>
  </r>
  <r>
    <n v="290"/>
    <x v="289"/>
    <x v="3"/>
    <x v="0"/>
    <s v="Yes"/>
    <x v="288"/>
    <n v="22.34"/>
    <n v="82.92"/>
    <n v="1.75"/>
    <n v="731.21"/>
    <n v="19.149999999999999"/>
    <n v="0.27"/>
    <n v="2"/>
    <n v="0"/>
  </r>
  <r>
    <n v="291"/>
    <x v="290"/>
    <x v="3"/>
    <x v="0"/>
    <s v="Yes"/>
    <x v="289"/>
    <n v="22.33"/>
    <n v="64.67"/>
    <n v="2.02"/>
    <n v="1598.29"/>
    <n v="14.71"/>
    <n v="0.85"/>
    <n v="0.1"/>
    <n v="0"/>
  </r>
  <r>
    <n v="292"/>
    <x v="291"/>
    <x v="3"/>
    <x v="0"/>
    <s v="No"/>
    <x v="131"/>
    <n v="21.85"/>
    <n v="59.67"/>
    <n v="1.33"/>
    <n v="1819.13"/>
    <n v="13.06"/>
    <n v="0.66"/>
    <n v="0"/>
    <n v="0"/>
  </r>
  <r>
    <n v="293"/>
    <x v="292"/>
    <x v="3"/>
    <x v="0"/>
    <s v="No"/>
    <x v="131"/>
    <n v="22.2"/>
    <n v="59.75"/>
    <n v="0.95"/>
    <n v="1729.21"/>
    <n v="13.59"/>
    <n v="0.44"/>
    <n v="0.2"/>
    <n v="0"/>
  </r>
  <r>
    <n v="294"/>
    <x v="293"/>
    <x v="3"/>
    <x v="0"/>
    <s v="Yes"/>
    <x v="290"/>
    <n v="19.05"/>
    <n v="80.209999999999994"/>
    <n v="1.74"/>
    <n v="1387.88"/>
    <n v="15.38"/>
    <n v="0.17"/>
    <n v="5"/>
    <n v="0"/>
  </r>
  <r>
    <n v="295"/>
    <x v="294"/>
    <x v="3"/>
    <x v="0"/>
    <s v="Yes"/>
    <x v="291"/>
    <n v="19.37"/>
    <n v="85.54"/>
    <n v="1.33"/>
    <n v="1691.88"/>
    <n v="16.75"/>
    <n v="0.26"/>
    <n v="18"/>
    <n v="0"/>
  </r>
  <r>
    <n v="296"/>
    <x v="295"/>
    <x v="3"/>
    <x v="0"/>
    <s v="Yes"/>
    <x v="259"/>
    <n v="21.01"/>
    <n v="63.42"/>
    <n v="1.73"/>
    <n v="1551.33"/>
    <n v="12.62"/>
    <n v="0.79"/>
    <n v="6.5"/>
    <n v="0"/>
  </r>
  <r>
    <n v="297"/>
    <x v="296"/>
    <x v="3"/>
    <x v="1"/>
    <s v="Yes"/>
    <x v="292"/>
    <n v="19.41"/>
    <n v="54.83"/>
    <n v="1.6"/>
    <n v="1988.25"/>
    <n v="9.48"/>
    <n v="0.62"/>
    <n v="0"/>
    <n v="0"/>
  </r>
  <r>
    <n v="298"/>
    <x v="297"/>
    <x v="3"/>
    <x v="1"/>
    <s v="Yes"/>
    <x v="293"/>
    <n v="17.82"/>
    <n v="47.46"/>
    <n v="2.15"/>
    <n v="1997.67"/>
    <n v="5.85"/>
    <n v="0.87"/>
    <n v="0"/>
    <n v="0"/>
  </r>
  <r>
    <n v="299"/>
    <x v="298"/>
    <x v="3"/>
    <x v="1"/>
    <s v="Yes"/>
    <x v="294"/>
    <n v="17.489999999999998"/>
    <n v="48.75"/>
    <n v="1.1000000000000001"/>
    <n v="1998.21"/>
    <n v="5.75"/>
    <n v="0.84"/>
    <n v="0"/>
    <n v="0"/>
  </r>
  <r>
    <n v="300"/>
    <x v="299"/>
    <x v="3"/>
    <x v="0"/>
    <s v="Yes"/>
    <x v="295"/>
    <n v="19.43"/>
    <n v="47.63"/>
    <n v="1.74"/>
    <n v="1999.21"/>
    <n v="7.63"/>
    <n v="0.71"/>
    <n v="0"/>
    <n v="0"/>
  </r>
  <r>
    <n v="301"/>
    <x v="300"/>
    <x v="3"/>
    <x v="0"/>
    <s v="Yes"/>
    <x v="296"/>
    <n v="18.79"/>
    <n v="47.13"/>
    <n v="1.24"/>
    <n v="1999.46"/>
    <n v="6.9"/>
    <n v="0.76"/>
    <n v="0"/>
    <n v="0"/>
  </r>
  <r>
    <n v="302"/>
    <x v="301"/>
    <x v="3"/>
    <x v="0"/>
    <s v="No"/>
    <x v="131"/>
    <n v="17.53"/>
    <n v="57.29"/>
    <n v="1.3"/>
    <n v="1999.33"/>
    <n v="8.83"/>
    <n v="0.37"/>
    <n v="0"/>
    <n v="0"/>
  </r>
  <r>
    <n v="303"/>
    <x v="302"/>
    <x v="3"/>
    <x v="0"/>
    <s v="Yes"/>
    <x v="297"/>
    <n v="20.079999999999998"/>
    <n v="55.42"/>
    <n v="1.03"/>
    <n v="1998.25"/>
    <n v="10.1"/>
    <n v="0.81"/>
    <n v="0"/>
    <n v="0"/>
  </r>
  <r>
    <n v="304"/>
    <x v="303"/>
    <x v="3"/>
    <x v="0"/>
    <s v="No"/>
    <x v="131"/>
    <n v="17.920000000000002"/>
    <n v="53.79"/>
    <n v="2.0299999999999998"/>
    <n v="1928.25"/>
    <n v="7.6"/>
    <n v="0.71"/>
    <n v="0"/>
    <n v="0"/>
  </r>
  <r>
    <n v="305"/>
    <x v="304"/>
    <x v="3"/>
    <x v="0"/>
    <s v="Yes"/>
    <x v="298"/>
    <n v="15.44"/>
    <n v="54.25"/>
    <n v="2.83"/>
    <n v="1985.54"/>
    <n v="5.98"/>
    <n v="0.63"/>
    <n v="0"/>
    <n v="0"/>
  </r>
  <r>
    <n v="306"/>
    <x v="305"/>
    <x v="3"/>
    <x v="0"/>
    <s v="No"/>
    <x v="131"/>
    <n v="15.78"/>
    <n v="60.79"/>
    <n v="1.63"/>
    <n v="1843.71"/>
    <n v="7.54"/>
    <n v="0.79"/>
    <n v="0"/>
    <n v="0"/>
  </r>
  <r>
    <n v="307"/>
    <x v="306"/>
    <x v="3"/>
    <x v="1"/>
    <s v="Yes"/>
    <x v="299"/>
    <n v="17.239999999999998"/>
    <n v="59.13"/>
    <n v="1.2"/>
    <n v="1853.54"/>
    <n v="8.36"/>
    <n v="0.77"/>
    <n v="0"/>
    <n v="0"/>
  </r>
  <r>
    <n v="308"/>
    <x v="307"/>
    <x v="3"/>
    <x v="0"/>
    <s v="No"/>
    <x v="131"/>
    <n v="18.899999999999999"/>
    <n v="56.83"/>
    <n v="1.29"/>
    <n v="1956.13"/>
    <n v="9.59"/>
    <n v="0.66"/>
    <n v="0"/>
    <n v="0"/>
  </r>
  <r>
    <n v="309"/>
    <x v="308"/>
    <x v="3"/>
    <x v="0"/>
    <s v="Yes"/>
    <x v="300"/>
    <n v="17.100000000000001"/>
    <n v="81.33"/>
    <n v="1.77"/>
    <n v="1318.33"/>
    <n v="13.51"/>
    <n v="0.11"/>
    <n v="35.5"/>
    <n v="0"/>
  </r>
  <r>
    <n v="310"/>
    <x v="309"/>
    <x v="3"/>
    <x v="0"/>
    <s v="No"/>
    <x v="131"/>
    <n v="16.7"/>
    <n v="91.29"/>
    <n v="2.54"/>
    <n v="1359"/>
    <n v="15.2"/>
    <n v="0"/>
    <n v="21"/>
    <n v="0"/>
  </r>
  <r>
    <n v="311"/>
    <x v="309"/>
    <x v="3"/>
    <x v="0"/>
    <s v="Yes"/>
    <x v="301"/>
    <n v="18.559999999999999"/>
    <n v="81.239999999999995"/>
    <n v="2.0499999999999998"/>
    <n v="1603.53"/>
    <n v="15.04"/>
    <n v="0.4"/>
    <n v="35.5"/>
    <n v="0"/>
  </r>
  <r>
    <n v="312"/>
    <x v="310"/>
    <x v="3"/>
    <x v="0"/>
    <s v="Yes"/>
    <x v="302"/>
    <n v="16.760000000000002"/>
    <n v="58.13"/>
    <n v="1.71"/>
    <n v="1836.13"/>
    <n v="7.33"/>
    <n v="0.65"/>
    <n v="0"/>
    <n v="0"/>
  </r>
  <r>
    <n v="313"/>
    <x v="311"/>
    <x v="3"/>
    <x v="0"/>
    <s v="Yes"/>
    <x v="303"/>
    <n v="14.72"/>
    <n v="46.46"/>
    <n v="1.1100000000000001"/>
    <n v="1984.33"/>
    <n v="2.54"/>
    <n v="0.64"/>
    <n v="0"/>
    <n v="0"/>
  </r>
  <r>
    <n v="314"/>
    <x v="312"/>
    <x v="3"/>
    <x v="1"/>
    <s v="No"/>
    <x v="131"/>
    <n v="15"/>
    <n v="52.63"/>
    <n v="1.1399999999999999"/>
    <n v="1992.58"/>
    <n v="5.01"/>
    <n v="0.37"/>
    <n v="0"/>
    <n v="0"/>
  </r>
  <r>
    <n v="315"/>
    <x v="313"/>
    <x v="3"/>
    <x v="0"/>
    <s v="Yes"/>
    <x v="304"/>
    <n v="12.81"/>
    <n v="61.29"/>
    <n v="2.39"/>
    <n v="1701.92"/>
    <n v="4.96"/>
    <n v="0.43"/>
    <n v="7"/>
    <n v="0"/>
  </r>
  <r>
    <n v="316"/>
    <x v="314"/>
    <x v="3"/>
    <x v="0"/>
    <s v="Yes"/>
    <x v="305"/>
    <n v="9.68"/>
    <n v="50.25"/>
    <n v="2.2000000000000002"/>
    <n v="1991.71"/>
    <n v="-0.68"/>
    <n v="0.64"/>
    <n v="0"/>
    <n v="0"/>
  </r>
  <r>
    <n v="317"/>
    <x v="315"/>
    <x v="3"/>
    <x v="0"/>
    <s v="Yes"/>
    <x v="306"/>
    <n v="10.81"/>
    <n v="53.25"/>
    <n v="1.24"/>
    <n v="1962.67"/>
    <n v="1.0900000000000001"/>
    <n v="0.74"/>
    <n v="0"/>
    <n v="0"/>
  </r>
  <r>
    <n v="318"/>
    <x v="316"/>
    <x v="3"/>
    <x v="0"/>
    <s v="Yes"/>
    <x v="307"/>
    <n v="12.4"/>
    <n v="55.67"/>
    <n v="1.05"/>
    <n v="1375.25"/>
    <n v="2.77"/>
    <n v="0.7"/>
    <n v="0"/>
    <n v="0"/>
  </r>
  <r>
    <n v="319"/>
    <x v="317"/>
    <x v="3"/>
    <x v="0"/>
    <s v="Yes"/>
    <x v="308"/>
    <n v="13"/>
    <n v="58"/>
    <n v="1.38"/>
    <n v="1315.38"/>
    <n v="4.0999999999999996"/>
    <n v="0.67"/>
    <n v="0"/>
    <n v="0"/>
  </r>
  <r>
    <n v="320"/>
    <x v="318"/>
    <x v="3"/>
    <x v="0"/>
    <s v="Yes"/>
    <x v="309"/>
    <n v="15.09"/>
    <n v="70.42"/>
    <n v="1.32"/>
    <n v="764.42"/>
    <n v="9.34"/>
    <n v="0.47"/>
    <n v="0"/>
    <n v="0"/>
  </r>
  <r>
    <n v="321"/>
    <x v="319"/>
    <x v="3"/>
    <x v="0"/>
    <s v="Yes"/>
    <x v="310"/>
    <n v="14.48"/>
    <n v="55.63"/>
    <n v="1.2"/>
    <n v="1407.63"/>
    <n v="4.9400000000000004"/>
    <n v="0.55000000000000004"/>
    <n v="0"/>
    <n v="0"/>
  </r>
  <r>
    <n v="322"/>
    <x v="320"/>
    <x v="3"/>
    <x v="0"/>
    <s v="Yes"/>
    <x v="311"/>
    <n v="12.78"/>
    <n v="53.04"/>
    <n v="1.22"/>
    <n v="1572.29"/>
    <n v="2.14"/>
    <n v="0.69"/>
    <n v="0"/>
    <n v="0"/>
  </r>
  <r>
    <n v="323"/>
    <x v="321"/>
    <x v="3"/>
    <x v="0"/>
    <s v="Yes"/>
    <x v="312"/>
    <n v="12.6"/>
    <n v="59.67"/>
    <n v="1.1299999999999999"/>
    <n v="1995.92"/>
    <n v="4.43"/>
    <n v="0.56000000000000005"/>
    <n v="0"/>
    <n v="0"/>
  </r>
  <r>
    <n v="324"/>
    <x v="322"/>
    <x v="3"/>
    <x v="0"/>
    <s v="Yes"/>
    <x v="313"/>
    <n v="13.1"/>
    <n v="54.42"/>
    <n v="1.49"/>
    <n v="1995.92"/>
    <n v="3.22"/>
    <n v="0.68"/>
    <n v="0"/>
    <n v="0"/>
  </r>
  <r>
    <n v="325"/>
    <x v="323"/>
    <x v="3"/>
    <x v="0"/>
    <s v="Yes"/>
    <x v="314"/>
    <n v="13.41"/>
    <n v="53.63"/>
    <n v="1.08"/>
    <n v="1657.67"/>
    <n v="2.8"/>
    <n v="0.67"/>
    <n v="0"/>
    <n v="0"/>
  </r>
  <r>
    <n v="326"/>
    <x v="324"/>
    <x v="3"/>
    <x v="0"/>
    <s v="Yes"/>
    <x v="315"/>
    <n v="13.37"/>
    <n v="50.08"/>
    <n v="1.1100000000000001"/>
    <n v="1591.75"/>
    <n v="1.99"/>
    <n v="0.66"/>
    <n v="0"/>
    <n v="0"/>
  </r>
  <r>
    <n v="327"/>
    <x v="325"/>
    <x v="3"/>
    <x v="0"/>
    <s v="Yes"/>
    <x v="316"/>
    <n v="13.99"/>
    <n v="49.54"/>
    <n v="0.94"/>
    <n v="1184.46"/>
    <n v="3.03"/>
    <n v="0.51"/>
    <n v="0"/>
    <n v="0"/>
  </r>
  <r>
    <n v="328"/>
    <x v="326"/>
    <x v="3"/>
    <x v="0"/>
    <s v="Yes"/>
    <x v="317"/>
    <n v="12.5"/>
    <n v="71.63"/>
    <n v="1.26"/>
    <n v="855.83"/>
    <n v="7.39"/>
    <n v="0.32"/>
    <n v="5"/>
    <n v="0"/>
  </r>
  <r>
    <n v="329"/>
    <x v="327"/>
    <x v="3"/>
    <x v="0"/>
    <s v="Yes"/>
    <x v="318"/>
    <n v="12.58"/>
    <n v="67.040000000000006"/>
    <n v="1.27"/>
    <n v="1421.83"/>
    <n v="5.98"/>
    <n v="0.56999999999999995"/>
    <n v="0"/>
    <n v="0"/>
  </r>
  <r>
    <n v="330"/>
    <x v="328"/>
    <x v="3"/>
    <x v="0"/>
    <s v="Yes"/>
    <x v="319"/>
    <n v="13.58"/>
    <n v="57.79"/>
    <n v="0.93"/>
    <n v="1613.21"/>
    <n v="4.38"/>
    <n v="0.56999999999999995"/>
    <n v="0"/>
    <n v="0"/>
  </r>
  <r>
    <n v="331"/>
    <x v="329"/>
    <x v="3"/>
    <x v="0"/>
    <s v="Yes"/>
    <x v="320"/>
    <n v="12.52"/>
    <n v="72.67"/>
    <n v="1.67"/>
    <n v="1383.46"/>
    <n v="7.5"/>
    <n v="0.13"/>
    <n v="11"/>
    <n v="0"/>
  </r>
  <r>
    <n v="332"/>
    <x v="330"/>
    <x v="3"/>
    <x v="0"/>
    <s v="Yes"/>
    <x v="321"/>
    <n v="8.91"/>
    <n v="50.04"/>
    <n v="3.37"/>
    <n v="1985.96"/>
    <n v="-1.28"/>
    <n v="0.48"/>
    <n v="0"/>
    <n v="0"/>
  </r>
  <r>
    <n v="333"/>
    <x v="331"/>
    <x v="3"/>
    <x v="0"/>
    <s v="Yes"/>
    <x v="322"/>
    <n v="8.41"/>
    <n v="75.17"/>
    <n v="1.43"/>
    <n v="1895.21"/>
    <n v="4.08"/>
    <n v="0.28000000000000003"/>
    <n v="5.5"/>
    <n v="0"/>
  </r>
  <r>
    <n v="334"/>
    <x v="332"/>
    <x v="3"/>
    <x v="0"/>
    <s v="Yes"/>
    <x v="323"/>
    <n v="7.4"/>
    <n v="59.25"/>
    <n v="2.12"/>
    <n v="1989.08"/>
    <n v="-0.4"/>
    <n v="0.41"/>
    <n v="0"/>
    <n v="0"/>
  </r>
  <r>
    <n v="335"/>
    <x v="333"/>
    <x v="3"/>
    <x v="0"/>
    <s v="Yes"/>
    <x v="324"/>
    <n v="5.89"/>
    <n v="49.83"/>
    <n v="1.53"/>
    <n v="1980.42"/>
    <n v="-4.16"/>
    <n v="0.61"/>
    <n v="0"/>
    <n v="0"/>
  </r>
  <r>
    <n v="336"/>
    <x v="334"/>
    <x v="3"/>
    <x v="0"/>
    <s v="Yes"/>
    <x v="325"/>
    <n v="7.53"/>
    <n v="55"/>
    <n v="1.67"/>
    <n v="1960.92"/>
    <n v="-1.41"/>
    <n v="0.6"/>
    <n v="0"/>
    <n v="0"/>
  </r>
  <r>
    <n v="337"/>
    <x v="335"/>
    <x v="3"/>
    <x v="0"/>
    <s v="Yes"/>
    <x v="326"/>
    <n v="8.35"/>
    <n v="54.17"/>
    <n v="1.27"/>
    <n v="1790.17"/>
    <n v="-1.02"/>
    <n v="0.57999999999999996"/>
    <n v="0"/>
    <n v="0"/>
  </r>
  <r>
    <n v="338"/>
    <x v="336"/>
    <x v="3"/>
    <x v="0"/>
    <s v="Yes"/>
    <x v="327"/>
    <n v="10.5"/>
    <n v="54.13"/>
    <n v="1.1299999999999999"/>
    <n v="1463.46"/>
    <n v="0.88"/>
    <n v="0.56000000000000005"/>
    <n v="0"/>
    <n v="0"/>
  </r>
  <r>
    <n v="339"/>
    <x v="337"/>
    <x v="3"/>
    <x v="0"/>
    <s v="No"/>
    <x v="131"/>
    <n v="11.26"/>
    <n v="56.46"/>
    <n v="1.24"/>
    <n v="1070.17"/>
    <n v="1.94"/>
    <n v="0.56999999999999995"/>
    <n v="0"/>
    <n v="0"/>
  </r>
  <r>
    <n v="340"/>
    <x v="338"/>
    <x v="3"/>
    <x v="0"/>
    <s v="Yes"/>
    <x v="328"/>
    <n v="11.67"/>
    <n v="54.75"/>
    <n v="1.38"/>
    <n v="1240.21"/>
    <n v="1.87"/>
    <n v="0.56000000000000005"/>
    <n v="0"/>
    <n v="0"/>
  </r>
  <r>
    <n v="341"/>
    <x v="339"/>
    <x v="3"/>
    <x v="0"/>
    <s v="Yes"/>
    <x v="329"/>
    <n v="11.86"/>
    <n v="66.88"/>
    <n v="1.06"/>
    <n v="738"/>
    <n v="5.32"/>
    <n v="0.46"/>
    <n v="0"/>
    <n v="0"/>
  </r>
  <r>
    <n v="342"/>
    <x v="340"/>
    <x v="3"/>
    <x v="0"/>
    <s v="No"/>
    <x v="131"/>
    <n v="12.14"/>
    <n v="69.790000000000006"/>
    <n v="0.91"/>
    <n v="409.67"/>
    <n v="6.53"/>
    <n v="0.33"/>
    <n v="0"/>
    <n v="0"/>
  </r>
  <r>
    <n v="343"/>
    <x v="341"/>
    <x v="3"/>
    <x v="0"/>
    <s v="Yes"/>
    <x v="330"/>
    <n v="12.78"/>
    <n v="80.17"/>
    <n v="1.1299999999999999"/>
    <n v="598.75"/>
    <n v="9.31"/>
    <n v="0.17"/>
    <n v="2"/>
    <n v="0"/>
  </r>
  <r>
    <n v="344"/>
    <x v="342"/>
    <x v="3"/>
    <x v="0"/>
    <s v="Yes"/>
    <x v="331"/>
    <n v="11.71"/>
    <n v="91.54"/>
    <n v="1.88"/>
    <n v="866.08"/>
    <n v="10.28"/>
    <n v="0.05"/>
    <n v="46"/>
    <n v="0"/>
  </r>
  <r>
    <n v="345"/>
    <x v="343"/>
    <x v="3"/>
    <x v="0"/>
    <s v="No"/>
    <x v="131"/>
    <n v="12.03"/>
    <n v="70.75"/>
    <n v="3.05"/>
    <n v="1126.25"/>
    <n v="6.57"/>
    <n v="0.41"/>
    <n v="19"/>
    <n v="0"/>
  </r>
  <r>
    <n v="346"/>
    <x v="344"/>
    <x v="3"/>
    <x v="0"/>
    <s v="Yes"/>
    <x v="332"/>
    <n v="12.11"/>
    <n v="69.209999999999994"/>
    <n v="1.3"/>
    <n v="453.75"/>
    <n v="6.04"/>
    <n v="0.46"/>
    <n v="0"/>
    <n v="0"/>
  </r>
  <r>
    <n v="347"/>
    <x v="345"/>
    <x v="3"/>
    <x v="0"/>
    <s v="Yes"/>
    <x v="333"/>
    <n v="8.4"/>
    <n v="69.709999999999994"/>
    <n v="1.03"/>
    <n v="750.08"/>
    <n v="2.92"/>
    <n v="0.16"/>
    <n v="0"/>
    <n v="0"/>
  </r>
  <r>
    <n v="348"/>
    <x v="346"/>
    <x v="3"/>
    <x v="0"/>
    <s v="Yes"/>
    <x v="334"/>
    <n v="8.0299999999999994"/>
    <n v="53.38"/>
    <n v="1.2"/>
    <n v="1770.38"/>
    <n v="-1.31"/>
    <n v="0.51"/>
    <n v="0"/>
    <n v="0"/>
  </r>
  <r>
    <n v="349"/>
    <x v="347"/>
    <x v="3"/>
    <x v="0"/>
    <s v="Yes"/>
    <x v="335"/>
    <n v="8.76"/>
    <n v="52.96"/>
    <n v="0.98"/>
    <n v="1523.21"/>
    <n v="-0.71"/>
    <n v="0.49"/>
    <n v="0"/>
    <n v="0"/>
  </r>
  <r>
    <n v="350"/>
    <x v="348"/>
    <x v="3"/>
    <x v="0"/>
    <s v="Yes"/>
    <x v="336"/>
    <n v="9.6999999999999993"/>
    <n v="55.63"/>
    <n v="1.1200000000000001"/>
    <n v="1443.83"/>
    <n v="0.73"/>
    <n v="0.48"/>
    <n v="0"/>
    <n v="0"/>
  </r>
  <r>
    <n v="351"/>
    <x v="349"/>
    <x v="3"/>
    <x v="0"/>
    <s v="Yes"/>
    <x v="337"/>
    <n v="9.58"/>
    <n v="55.71"/>
    <n v="1.02"/>
    <n v="951.29"/>
    <n v="0.52"/>
    <n v="0.4"/>
    <n v="0"/>
    <n v="0"/>
  </r>
  <r>
    <n v="352"/>
    <x v="350"/>
    <x v="3"/>
    <x v="0"/>
    <s v="Yes"/>
    <x v="338"/>
    <n v="9.01"/>
    <n v="63.33"/>
    <n v="1.68"/>
    <n v="707.17"/>
    <n v="2.2000000000000002"/>
    <n v="0.35"/>
    <n v="0"/>
    <n v="0"/>
  </r>
  <r>
    <n v="353"/>
    <x v="351"/>
    <x v="3"/>
    <x v="0"/>
    <s v="Yes"/>
    <x v="339"/>
    <n v="4.9800000000000004"/>
    <n v="53.33"/>
    <n v="1.46"/>
    <n v="1556.83"/>
    <n v="-4.46"/>
    <n v="0.38"/>
    <n v="0"/>
    <n v="0"/>
  </r>
  <r>
    <n v="354"/>
    <x v="352"/>
    <x v="3"/>
    <x v="0"/>
    <s v="Yes"/>
    <x v="340"/>
    <n v="5.88"/>
    <n v="47.08"/>
    <n v="1.1499999999999999"/>
    <n v="1720.96"/>
    <n v="-4.6900000000000004"/>
    <n v="0.31"/>
    <n v="0"/>
    <n v="0"/>
  </r>
  <r>
    <n v="355"/>
    <x v="353"/>
    <x v="3"/>
    <x v="0"/>
    <s v="Yes"/>
    <x v="341"/>
    <n v="6.7"/>
    <n v="53.29"/>
    <n v="1.38"/>
    <n v="1087.04"/>
    <n v="-2.4500000000000002"/>
    <n v="0.33"/>
    <n v="0"/>
    <n v="0"/>
  </r>
  <r>
    <n v="356"/>
    <x v="354"/>
    <x v="3"/>
    <x v="0"/>
    <s v="Yes"/>
    <x v="342"/>
    <n v="6.23"/>
    <n v="36.46"/>
    <n v="1.86"/>
    <n v="1862.21"/>
    <n v="-8.3000000000000007"/>
    <n v="0.46"/>
    <n v="0"/>
    <n v="0"/>
  </r>
  <r>
    <n v="357"/>
    <x v="355"/>
    <x v="3"/>
    <x v="0"/>
    <s v="Yes"/>
    <x v="343"/>
    <n v="6.25"/>
    <n v="60.75"/>
    <n v="1.08"/>
    <n v="1436.46"/>
    <n v="-1.46"/>
    <n v="0.12"/>
    <n v="1.2"/>
    <n v="0"/>
  </r>
  <r>
    <n v="358"/>
    <x v="356"/>
    <x v="3"/>
    <x v="0"/>
    <s v="Yes"/>
    <x v="344"/>
    <n v="2.65"/>
    <n v="35.380000000000003"/>
    <n v="2.33"/>
    <n v="1961.13"/>
    <n v="-11.46"/>
    <n v="0.45"/>
    <n v="0"/>
    <n v="0"/>
  </r>
  <r>
    <n v="359"/>
    <x v="357"/>
    <x v="3"/>
    <x v="0"/>
    <s v="Yes"/>
    <x v="345"/>
    <n v="1.68"/>
    <n v="30.58"/>
    <n v="1.49"/>
    <n v="1989.38"/>
    <n v="-14.52"/>
    <n v="0.45"/>
    <n v="0"/>
    <n v="0"/>
  </r>
  <r>
    <n v="360"/>
    <x v="358"/>
    <x v="3"/>
    <x v="0"/>
    <s v="Yes"/>
    <x v="346"/>
    <n v="2.4"/>
    <n v="69.92"/>
    <n v="1.75"/>
    <n v="1152.92"/>
    <n v="-3.87"/>
    <n v="0.14000000000000001"/>
    <n v="10.9"/>
    <n v="78.7"/>
  </r>
  <r>
    <n v="361"/>
    <x v="359"/>
    <x v="3"/>
    <x v="0"/>
    <s v="Yes"/>
    <x v="347"/>
    <n v="4.8600000000000003"/>
    <n v="76.959999999999994"/>
    <n v="0.97"/>
    <n v="461.79"/>
    <n v="0.83"/>
    <n v="0.33"/>
    <n v="0"/>
    <n v="41.4"/>
  </r>
  <r>
    <n v="362"/>
    <x v="360"/>
    <x v="3"/>
    <x v="0"/>
    <s v="Yes"/>
    <x v="348"/>
    <n v="6.32"/>
    <n v="70.5"/>
    <n v="1.03"/>
    <n v="475"/>
    <n v="0.85"/>
    <n v="0.42"/>
    <n v="0"/>
    <n v="2.9"/>
  </r>
  <r>
    <n v="363"/>
    <x v="361"/>
    <x v="3"/>
    <x v="0"/>
    <s v="Yes"/>
    <x v="349"/>
    <n v="7.07"/>
    <n v="68"/>
    <n v="1.35"/>
    <n v="405.29"/>
    <n v="1"/>
    <n v="0.19"/>
    <n v="0"/>
    <n v="0"/>
  </r>
  <r>
    <n v="364"/>
    <x v="362"/>
    <x v="3"/>
    <x v="0"/>
    <s v="Yes"/>
    <x v="350"/>
    <n v="5.3"/>
    <n v="25.79"/>
    <n v="1.7"/>
    <n v="1429.08"/>
    <n v="-13.35"/>
    <n v="0.4"/>
    <n v="0"/>
    <n v="0"/>
  </r>
  <r>
    <n v="365"/>
    <x v="363"/>
    <x v="3"/>
    <x v="0"/>
    <s v="Yes"/>
    <x v="351"/>
    <n v="3.3"/>
    <n v="38"/>
    <n v="1.21"/>
    <n v="1596.71"/>
    <n v="-9.81"/>
    <n v="0.12"/>
    <n v="0"/>
    <n v="0"/>
  </r>
  <r>
    <n v="366"/>
    <x v="364"/>
    <x v="3"/>
    <x v="0"/>
    <s v="Yes"/>
    <x v="352"/>
    <n v="2.76"/>
    <n v="47.21"/>
    <n v="1.43"/>
    <n v="1581.92"/>
    <n v="-8.3699999999999992"/>
    <n v="0.43"/>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FA29C-4BD0-4296-B037-1631CF22FC1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6:L11" firstHeaderRow="1" firstDataRow="1" firstDataCol="1"/>
  <pivotFields count="14">
    <pivotField compact="0" outline="0" showAll="0"/>
    <pivotField compact="0" numFmtId="14" outline="0" showAll="0"/>
    <pivotField axis="axisRow" compact="0" outline="0"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v="2"/>
    </i>
    <i>
      <x/>
    </i>
    <i>
      <x v="1"/>
    </i>
    <i>
      <x v="3"/>
    </i>
    <i t="grand">
      <x/>
    </i>
  </rowItems>
  <colItems count="1">
    <i/>
  </colItems>
  <dataFields count="1">
    <dataField name="Average of Total Rentals" fld="5" subtotal="average" baseField="0" baseItem="0"/>
  </dataFields>
  <chartFormats count="5">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E2D4E-CF23-42E7-9048-771D0722E2C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G6:H11" firstHeaderRow="1" firstDataRow="1" firstDataCol="1"/>
  <pivotFields count="14">
    <pivotField compact="0" outline="0" showAll="0"/>
    <pivotField compact="0" numFmtId="14" outline="0" showAll="0"/>
    <pivotField axis="axisRow" compact="0" outline="0"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v="2"/>
    </i>
    <i>
      <x/>
    </i>
    <i>
      <x v="1"/>
    </i>
    <i>
      <x v="3"/>
    </i>
    <i t="grand">
      <x/>
    </i>
  </rowItems>
  <colItems count="1">
    <i/>
  </colItems>
  <dataFields count="1">
    <dataField name="Sum of Total Rentals" fld="5" baseField="0" baseItem="0"/>
  </dataFields>
  <chartFormats count="5">
    <chartFormat chart="0" format="27" series="1">
      <pivotArea type="data" outline="0" fieldPosition="0">
        <references count="1">
          <reference field="4294967294" count="1" selected="0">
            <x v="0"/>
          </reference>
        </references>
      </pivotArea>
    </chartFormat>
    <chartFormat chart="0" format="28">
      <pivotArea type="data" outline="0" fieldPosition="0">
        <references count="2">
          <reference field="4294967294" count="1" selected="0">
            <x v="0"/>
          </reference>
          <reference field="2" count="1" selected="0">
            <x v="2"/>
          </reference>
        </references>
      </pivotArea>
    </chartFormat>
    <chartFormat chart="0" format="29">
      <pivotArea type="data" outline="0" fieldPosition="0">
        <references count="2">
          <reference field="4294967294" count="1" selected="0">
            <x v="0"/>
          </reference>
          <reference field="2" count="1" selected="0">
            <x v="0"/>
          </reference>
        </references>
      </pivotArea>
    </chartFormat>
    <chartFormat chart="0" format="30">
      <pivotArea type="data" outline="0" fieldPosition="0">
        <references count="2">
          <reference field="4294967294" count="1" selected="0">
            <x v="0"/>
          </reference>
          <reference field="2" count="1" selected="0">
            <x v="1"/>
          </reference>
        </references>
      </pivotArea>
    </chartFormat>
    <chartFormat chart="0" format="3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19EBF-09F0-4241-9141-A794C5C5C0D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C4:D370" firstHeaderRow="1" firstDataRow="1" firstDataCol="1"/>
  <pivotFields count="14">
    <pivotField compact="0" outline="0" showAll="0"/>
    <pivotField axis="axisRow" compact="0" numFmtId="14" outline="0" showAll="0" sortType="ascending">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items count="5">
        <item x="3"/>
        <item x="1"/>
        <item x="2"/>
        <item x="0"/>
        <item t="default"/>
      </items>
    </pivotField>
    <pivotField compact="0" outline="0" showAll="0">
      <items count="3">
        <item h="1" x="1"/>
        <item x="0"/>
        <item t="default"/>
      </items>
    </pivotField>
    <pivotField compact="0" outline="0" showAll="0"/>
    <pivotField dataField="1" compact="0" outline="0" showAll="0">
      <items count="354">
        <item x="143"/>
        <item x="331"/>
        <item x="23"/>
        <item x="65"/>
        <item x="77"/>
        <item x="125"/>
        <item x="17"/>
        <item x="57"/>
        <item x="58"/>
        <item x="72"/>
        <item x="56"/>
        <item x="161"/>
        <item x="55"/>
        <item x="78"/>
        <item x="54"/>
        <item x="211"/>
        <item x="64"/>
        <item x="60"/>
        <item x="30"/>
        <item x="9"/>
        <item x="76"/>
        <item x="43"/>
        <item x="166"/>
        <item x="16"/>
        <item x="89"/>
        <item x="61"/>
        <item x="66"/>
        <item x="24"/>
        <item x="53"/>
        <item x="67"/>
        <item x="41"/>
        <item x="29"/>
        <item x="59"/>
        <item x="42"/>
        <item x="40"/>
        <item x="44"/>
        <item x="31"/>
        <item x="18"/>
        <item x="71"/>
        <item x="52"/>
        <item x="300"/>
        <item x="79"/>
        <item x="19"/>
        <item x="15"/>
        <item x="93"/>
        <item x="68"/>
        <item x="37"/>
        <item x="73"/>
        <item x="51"/>
        <item x="90"/>
        <item x="36"/>
        <item x="206"/>
        <item x="212"/>
        <item x="26"/>
        <item x="62"/>
        <item x="11"/>
        <item x="39"/>
        <item x="50"/>
        <item x="25"/>
        <item x="69"/>
        <item x="38"/>
        <item x="20"/>
        <item x="84"/>
        <item x="10"/>
        <item x="63"/>
        <item x="12"/>
        <item x="219"/>
        <item x="104"/>
        <item x="74"/>
        <item x="70"/>
        <item x="47"/>
        <item x="45"/>
        <item x="85"/>
        <item x="48"/>
        <item x="13"/>
        <item x="165"/>
        <item x="32"/>
        <item x="34"/>
        <item x="346"/>
        <item x="86"/>
        <item x="33"/>
        <item x="27"/>
        <item x="22"/>
        <item x="128"/>
        <item x="5"/>
        <item x="46"/>
        <item x="75"/>
        <item x="142"/>
        <item x="35"/>
        <item x="134"/>
        <item x="21"/>
        <item x="14"/>
        <item x="2"/>
        <item x="8"/>
        <item x="110"/>
        <item x="152"/>
        <item x="49"/>
        <item x="82"/>
        <item x="80"/>
        <item x="28"/>
        <item x="97"/>
        <item x="83"/>
        <item x="81"/>
        <item x="7"/>
        <item x="4"/>
        <item x="91"/>
        <item x="1"/>
        <item x="6"/>
        <item x="94"/>
        <item x="3"/>
        <item x="88"/>
        <item x="108"/>
        <item x="269"/>
        <item x="270"/>
        <item x="87"/>
        <item x="0"/>
        <item x="107"/>
        <item x="135"/>
        <item x="275"/>
        <item x="114"/>
        <item x="99"/>
        <item x="127"/>
        <item x="96"/>
        <item x="347"/>
        <item x="109"/>
        <item x="126"/>
        <item x="322"/>
        <item x="98"/>
        <item x="265"/>
        <item x="100"/>
        <item x="95"/>
        <item x="92"/>
        <item x="113"/>
        <item x="115"/>
        <item x="333"/>
        <item x="101"/>
        <item x="320"/>
        <item x="171"/>
        <item x="111"/>
        <item x="288"/>
        <item x="290"/>
        <item x="340"/>
        <item x="268"/>
        <item x="156"/>
        <item x="116"/>
        <item x="112"/>
        <item x="105"/>
        <item x="106"/>
        <item x="339"/>
        <item x="343"/>
        <item x="264"/>
        <item x="102"/>
        <item x="301"/>
        <item x="167"/>
        <item x="349"/>
        <item x="352"/>
        <item x="345"/>
        <item x="351"/>
        <item x="344"/>
        <item x="350"/>
        <item x="330"/>
        <item x="130"/>
        <item x="238"/>
        <item x="348"/>
        <item x="293"/>
        <item x="117"/>
        <item x="121"/>
        <item x="246"/>
        <item x="118"/>
        <item x="253"/>
        <item x="139"/>
        <item x="239"/>
        <item x="291"/>
        <item x="245"/>
        <item x="321"/>
        <item x="332"/>
        <item x="232"/>
        <item x="256"/>
        <item x="341"/>
        <item x="129"/>
        <item x="342"/>
        <item x="247"/>
        <item x="103"/>
        <item x="120"/>
        <item x="119"/>
        <item x="267"/>
        <item x="323"/>
        <item x="124"/>
        <item x="252"/>
        <item x="292"/>
        <item x="144"/>
        <item x="328"/>
        <item x="210"/>
        <item x="220"/>
        <item x="338"/>
        <item x="243"/>
        <item x="242"/>
        <item x="244"/>
        <item x="324"/>
        <item x="271"/>
        <item x="334"/>
        <item x="123"/>
        <item x="153"/>
        <item x="231"/>
        <item x="337"/>
        <item x="325"/>
        <item x="122"/>
        <item x="317"/>
        <item x="250"/>
        <item x="208"/>
        <item x="138"/>
        <item x="335"/>
        <item x="137"/>
        <item x="140"/>
        <item x="336"/>
        <item x="132"/>
        <item x="225"/>
        <item x="254"/>
        <item x="241"/>
        <item x="326"/>
        <item x="136"/>
        <item x="133"/>
        <item x="237"/>
        <item x="294"/>
        <item x="329"/>
        <item x="240"/>
        <item x="248"/>
        <item x="194"/>
        <item x="251"/>
        <item x="255"/>
        <item x="249"/>
        <item x="315"/>
        <item x="327"/>
        <item x="221"/>
        <item x="308"/>
        <item x="178"/>
        <item x="141"/>
        <item x="304"/>
        <item x="305"/>
        <item x="260"/>
        <item x="234"/>
        <item x="191"/>
        <item x="233"/>
        <item x="236"/>
        <item x="148"/>
        <item x="287"/>
        <item x="262"/>
        <item x="257"/>
        <item x="149"/>
        <item x="155"/>
        <item x="314"/>
        <item x="150"/>
        <item x="307"/>
        <item x="146"/>
        <item x="224"/>
        <item x="147"/>
        <item x="189"/>
        <item x="162"/>
        <item x="235"/>
        <item x="273"/>
        <item x="263"/>
        <item x="316"/>
        <item x="309"/>
        <item x="306"/>
        <item x="145"/>
        <item x="259"/>
        <item x="318"/>
        <item x="158"/>
        <item x="311"/>
        <item x="312"/>
        <item x="160"/>
        <item x="154"/>
        <item x="230"/>
        <item x="151"/>
        <item x="226"/>
        <item x="261"/>
        <item x="274"/>
        <item x="310"/>
        <item x="204"/>
        <item x="319"/>
        <item x="266"/>
        <item x="313"/>
        <item x="198"/>
        <item x="302"/>
        <item x="172"/>
        <item x="163"/>
        <item x="272"/>
        <item x="229"/>
        <item x="169"/>
        <item x="278"/>
        <item x="228"/>
        <item x="298"/>
        <item x="295"/>
        <item x="175"/>
        <item x="157"/>
        <item x="215"/>
        <item x="286"/>
        <item x="281"/>
        <item x="227"/>
        <item x="164"/>
        <item x="173"/>
        <item x="258"/>
        <item x="159"/>
        <item x="176"/>
        <item x="174"/>
        <item x="213"/>
        <item x="190"/>
        <item x="303"/>
        <item x="222"/>
        <item x="276"/>
        <item x="207"/>
        <item x="183"/>
        <item x="280"/>
        <item x="218"/>
        <item x="223"/>
        <item x="289"/>
        <item x="209"/>
        <item x="299"/>
        <item x="179"/>
        <item x="279"/>
        <item x="186"/>
        <item x="182"/>
        <item x="282"/>
        <item x="296"/>
        <item x="285"/>
        <item x="168"/>
        <item x="177"/>
        <item x="217"/>
        <item x="277"/>
        <item x="170"/>
        <item x="297"/>
        <item x="180"/>
        <item x="283"/>
        <item x="214"/>
        <item x="284"/>
        <item x="181"/>
        <item x="203"/>
        <item x="187"/>
        <item x="197"/>
        <item x="205"/>
        <item x="184"/>
        <item x="185"/>
        <item x="195"/>
        <item x="216"/>
        <item x="202"/>
        <item x="196"/>
        <item x="192"/>
        <item x="201"/>
        <item x="200"/>
        <item x="188"/>
        <item x="199"/>
        <item x="193"/>
        <item x="13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Sum of Total Rentals" fld="5" baseField="0" baseItem="0"/>
  </dataFields>
  <chartFormats count="2">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36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EFF8965-41B4-4E06-9B5F-C19FC300C47F}" sourceName="Season">
  <pivotTables>
    <pivotTable tabId="2" name="PivotTable1"/>
  </pivotTables>
  <data>
    <tabular pivotCacheId="1873845812">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03F1FA0-A879-4A27-A9E7-B55B768514F4}" cache="Slicer_Sea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E1FDB-2948-4680-A0F9-AFDBB1E35733}" name="Table1" displayName="Table1" ref="R23:R36" totalsRowShown="0" headerRowDxfId="4" dataDxfId="3">
  <autoFilter ref="R23:R36" xr:uid="{EDBE1FDB-2948-4680-A0F9-AFDBB1E35733}"/>
  <tableColumns count="1">
    <tableColumn id="1" xr3:uid="{A54EBB41-8790-4F42-B7BD-B51BD350781F}" name="non operating day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8825CE-AB4B-496E-A9A0-8E8532C7113E}" name="Table2" displayName="Table2" ref="A1:O367" totalsRowShown="0">
  <autoFilter ref="A1:O367" xr:uid="{7D8825CE-AB4B-496E-A9A0-8E8532C7113E}"/>
  <sortState xmlns:xlrd2="http://schemas.microsoft.com/office/spreadsheetml/2017/richdata2" ref="A2:O367">
    <sortCondition descending="1" ref="F1:F367"/>
  </sortState>
  <tableColumns count="15">
    <tableColumn id="1" xr3:uid="{7D9B1EFD-7C3C-4127-A550-846D306205C1}" name="Observation"/>
    <tableColumn id="2" xr3:uid="{2F1887FB-779E-4A48-8F3A-9E8373B7ACC8}" name="Date" dataDxfId="1"/>
    <tableColumn id="3" xr3:uid="{3A654770-DB10-4A40-9962-429130132DD9}" name="Season"/>
    <tableColumn id="4" xr3:uid="{C351486D-E71F-49FA-825A-E38804F77D63}" name="Holiday"/>
    <tableColumn id="5" xr3:uid="{46DC0AB6-1EB9-4FE3-8537-9C9BD08D3812}" name="Operating Day"/>
    <tableColumn id="6" xr3:uid="{D62A487F-7D88-441A-A241-4B0EFBB497F0}" name="Total Rentals" dataDxfId="0"/>
    <tableColumn id="7" xr3:uid="{DE939A01-3C2F-4E1A-BB11-780FC5D5FCED}" name="Avg. Temp"/>
    <tableColumn id="8" xr3:uid="{C9E98681-19B2-4551-A0E2-8C0309199439}" name="Avg. Humidity"/>
    <tableColumn id="9" xr3:uid="{E31A44F2-0616-4222-AA7F-1E94D1EF5405}" name="Avg. Wind"/>
    <tableColumn id="10" xr3:uid="{BE1CE9A9-90C2-479D-8261-10E1840CDD1A}" name="Avg. Visibility"/>
    <tableColumn id="11" xr3:uid="{7E4810B2-1A52-4E7B-88D8-11BD1FD5FBF8}" name="Avg. Dew Point Temp"/>
    <tableColumn id="12" xr3:uid="{9FBD0B2F-94C7-41FB-A322-DF65C269B33D}" name="Avg. Solar Radiation"/>
    <tableColumn id="13" xr3:uid="{387DF02D-6181-476F-8DBE-D81C3B67BD34}" name="Total Rain"/>
    <tableColumn id="14" xr3:uid="{4C8C01F1-1BDF-4709-BB9F-6A47A011333C}" name="Total Snow"/>
    <tableColumn id="15" xr3:uid="{C19EED49-F397-40E1-AB9C-D82E0A80201E}"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D263-9103-4C9A-AFA8-C31331C3846A}">
  <dimension ref="P1:R37"/>
  <sheetViews>
    <sheetView showGridLines="0" tabSelected="1" zoomScale="90" zoomScaleNormal="90" workbookViewId="0">
      <selection activeCell="AA19" sqref="AA19"/>
    </sheetView>
  </sheetViews>
  <sheetFormatPr defaultRowHeight="15" x14ac:dyDescent="0.25"/>
  <cols>
    <col min="2" max="2" width="3.85546875" customWidth="1"/>
    <col min="3" max="3" width="11.28515625" bestFit="1" customWidth="1"/>
    <col min="4" max="4" width="19.28515625" bestFit="1" customWidth="1"/>
    <col min="10" max="11" width="9.140625" customWidth="1"/>
    <col min="13" max="13" width="7" customWidth="1"/>
    <col min="14" max="14" width="6.7109375" customWidth="1"/>
    <col min="15" max="15" width="13.42578125" customWidth="1"/>
    <col min="16" max="16" width="22.5703125" customWidth="1"/>
    <col min="17" max="17" width="13.42578125" customWidth="1"/>
    <col min="18" max="18" width="20.5703125" customWidth="1"/>
  </cols>
  <sheetData>
    <row r="1" spans="16:17" ht="19.5" customHeight="1" x14ac:dyDescent="0.25">
      <c r="P1" s="29" t="s">
        <v>35</v>
      </c>
      <c r="Q1" s="30"/>
    </row>
    <row r="2" spans="16:17" x14ac:dyDescent="0.25">
      <c r="P2" s="28" t="s">
        <v>27</v>
      </c>
      <c r="Q2" s="27">
        <f>SUM(data1!F:F)</f>
        <v>6172314</v>
      </c>
    </row>
    <row r="3" spans="16:17" ht="11.25" customHeight="1" x14ac:dyDescent="0.25">
      <c r="P3" s="26"/>
      <c r="Q3" s="18"/>
    </row>
    <row r="4" spans="16:17" x14ac:dyDescent="0.25">
      <c r="P4" s="25" t="s">
        <v>32</v>
      </c>
      <c r="Q4" s="24">
        <v>16864</v>
      </c>
    </row>
    <row r="5" spans="16:17" x14ac:dyDescent="0.25">
      <c r="P5" s="13"/>
      <c r="Q5" s="18"/>
    </row>
    <row r="6" spans="16:17" x14ac:dyDescent="0.25">
      <c r="P6" s="14" t="s">
        <v>33</v>
      </c>
      <c r="Q6" s="20">
        <v>8220</v>
      </c>
    </row>
    <row r="7" spans="16:17" x14ac:dyDescent="0.25">
      <c r="P7" s="15"/>
      <c r="Q7" s="19"/>
    </row>
    <row r="8" spans="16:17" x14ac:dyDescent="0.25">
      <c r="P8" s="16" t="s">
        <v>34</v>
      </c>
      <c r="Q8" s="21">
        <v>14340</v>
      </c>
    </row>
    <row r="9" spans="16:17" x14ac:dyDescent="0.25">
      <c r="P9" s="15"/>
      <c r="Q9" s="17"/>
    </row>
    <row r="10" spans="16:17" ht="15.75" thickBot="1" x14ac:dyDescent="0.3">
      <c r="P10" s="22" t="s">
        <v>31</v>
      </c>
      <c r="Q10" s="23">
        <f>SUM((Q8-Q6)/Q6)</f>
        <v>0.74452554744525545</v>
      </c>
    </row>
    <row r="11" spans="16:17" ht="15.75" thickTop="1" x14ac:dyDescent="0.25"/>
    <row r="23" spans="18:18" ht="15.75" customHeight="1" x14ac:dyDescent="0.25">
      <c r="R23" s="12" t="s">
        <v>29</v>
      </c>
    </row>
    <row r="24" spans="18:18" ht="15.75" customHeight="1" x14ac:dyDescent="0.25">
      <c r="R24" s="11">
        <v>43201</v>
      </c>
    </row>
    <row r="25" spans="18:18" ht="15.75" customHeight="1" x14ac:dyDescent="0.25">
      <c r="R25" s="11">
        <v>43230</v>
      </c>
    </row>
    <row r="26" spans="18:18" ht="15.75" customHeight="1" x14ac:dyDescent="0.25">
      <c r="R26" s="11">
        <v>43361</v>
      </c>
    </row>
    <row r="27" spans="18:18" ht="15.75" customHeight="1" x14ac:dyDescent="0.25">
      <c r="R27" s="11">
        <v>43362</v>
      </c>
    </row>
    <row r="28" spans="18:18" ht="15.75" customHeight="1" x14ac:dyDescent="0.25">
      <c r="R28" s="11">
        <v>43371</v>
      </c>
    </row>
    <row r="29" spans="18:18" ht="15.75" customHeight="1" x14ac:dyDescent="0.25">
      <c r="R29" s="11">
        <v>43373</v>
      </c>
    </row>
    <row r="30" spans="18:18" ht="15.75" customHeight="1" x14ac:dyDescent="0.25">
      <c r="R30" s="11">
        <v>43375</v>
      </c>
    </row>
    <row r="31" spans="18:18" ht="15.75" customHeight="1" x14ac:dyDescent="0.25">
      <c r="R31" s="11">
        <v>43377</v>
      </c>
    </row>
    <row r="32" spans="18:18" ht="15.75" customHeight="1" x14ac:dyDescent="0.25">
      <c r="R32" s="11">
        <v>43379</v>
      </c>
    </row>
    <row r="33" spans="18:18" ht="15.75" customHeight="1" x14ac:dyDescent="0.25">
      <c r="R33" s="11">
        <v>43382</v>
      </c>
    </row>
    <row r="34" spans="18:18" ht="15.75" customHeight="1" x14ac:dyDescent="0.25">
      <c r="R34" s="11">
        <v>43407</v>
      </c>
    </row>
    <row r="35" spans="18:18" ht="15.75" customHeight="1" x14ac:dyDescent="0.25">
      <c r="R35" s="11">
        <v>43410</v>
      </c>
    </row>
    <row r="36" spans="18:18" ht="15.75" customHeight="1" x14ac:dyDescent="0.25">
      <c r="R36" s="11">
        <v>43413</v>
      </c>
    </row>
    <row r="37" spans="18:18" ht="15.75" customHeight="1" x14ac:dyDescent="0.25">
      <c r="R37" s="1"/>
    </row>
  </sheetData>
  <mergeCells count="1">
    <mergeCell ref="P1:Q1"/>
  </mergeCells>
  <pageMargins left="0.7" right="0.7" top="0.75" bottom="0.75" header="0.3" footer="0.3"/>
  <pageSetup paperSize="9" orientation="portrait" horizontalDpi="300" verticalDpi="300" r:id="rId1"/>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7"/>
  <sheetViews>
    <sheetView zoomScale="70" zoomScaleNormal="70" workbookViewId="0">
      <selection activeCell="T7" sqref="T7"/>
    </sheetView>
  </sheetViews>
  <sheetFormatPr defaultRowHeight="15" x14ac:dyDescent="0.25"/>
  <cols>
    <col min="1" max="1" width="17.140625" customWidth="1"/>
    <col min="2" max="2" width="11.5703125" bestFit="1" customWidth="1"/>
    <col min="3" max="3" width="12" customWidth="1"/>
    <col min="4" max="4" width="11.85546875" customWidth="1"/>
    <col min="5" max="5" width="19.5703125" customWidth="1"/>
    <col min="6" max="6" width="18.42578125" style="4" customWidth="1"/>
    <col min="7" max="7" width="15.28515625" customWidth="1"/>
    <col min="8" max="8" width="18.7109375" customWidth="1"/>
    <col min="9" max="9" width="14.7109375" customWidth="1"/>
    <col min="10" max="10" width="18.5703125" customWidth="1"/>
    <col min="11" max="11" width="27.140625" customWidth="1"/>
    <col min="12" max="12" width="26.5703125" customWidth="1"/>
    <col min="13" max="13" width="14.85546875" customWidth="1"/>
    <col min="14" max="14" width="15.85546875" customWidth="1"/>
    <col min="17" max="17" width="15.7109375" customWidth="1"/>
    <col min="19" max="19" width="25.140625" customWidth="1"/>
  </cols>
  <sheetData>
    <row r="1" spans="1:21" x14ac:dyDescent="0.25">
      <c r="A1" t="s">
        <v>0</v>
      </c>
      <c r="B1" t="s">
        <v>1</v>
      </c>
      <c r="C1" t="s">
        <v>2</v>
      </c>
      <c r="D1" t="s">
        <v>3</v>
      </c>
      <c r="E1" t="s">
        <v>4</v>
      </c>
      <c r="F1" s="4" t="s">
        <v>5</v>
      </c>
      <c r="G1" t="s">
        <v>6</v>
      </c>
      <c r="H1" t="s">
        <v>7</v>
      </c>
      <c r="I1" t="s">
        <v>8</v>
      </c>
      <c r="J1" t="s">
        <v>9</v>
      </c>
      <c r="K1" t="s">
        <v>10</v>
      </c>
      <c r="L1" t="s">
        <v>11</v>
      </c>
      <c r="M1" t="s">
        <v>12</v>
      </c>
      <c r="N1" t="s">
        <v>13</v>
      </c>
      <c r="O1" t="s">
        <v>30</v>
      </c>
      <c r="P1" t="s">
        <v>28</v>
      </c>
      <c r="Q1" t="s">
        <v>29</v>
      </c>
    </row>
    <row r="2" spans="1:21" x14ac:dyDescent="0.25">
      <c r="A2">
        <v>195</v>
      </c>
      <c r="B2" s="1">
        <v>43264</v>
      </c>
      <c r="C2" t="s">
        <v>19</v>
      </c>
      <c r="D2" t="s">
        <v>15</v>
      </c>
      <c r="E2" t="s">
        <v>16</v>
      </c>
      <c r="F2" s="4">
        <v>36149</v>
      </c>
      <c r="G2">
        <v>21.98</v>
      </c>
      <c r="H2">
        <v>63.71</v>
      </c>
      <c r="I2">
        <v>1.46</v>
      </c>
      <c r="J2">
        <v>1475.29</v>
      </c>
      <c r="K2">
        <v>14.53</v>
      </c>
      <c r="L2">
        <v>0.66</v>
      </c>
      <c r="M2">
        <v>0</v>
      </c>
      <c r="N2">
        <v>0</v>
      </c>
      <c r="O2">
        <v>1</v>
      </c>
      <c r="P2">
        <v>353</v>
      </c>
      <c r="Q2">
        <v>13</v>
      </c>
    </row>
    <row r="3" spans="1:21" x14ac:dyDescent="0.25">
      <c r="A3">
        <v>201</v>
      </c>
      <c r="B3" s="1">
        <v>43270</v>
      </c>
      <c r="C3" t="s">
        <v>19</v>
      </c>
      <c r="D3" t="s">
        <v>15</v>
      </c>
      <c r="E3" t="s">
        <v>16</v>
      </c>
      <c r="F3" s="4">
        <v>35349</v>
      </c>
      <c r="G3">
        <v>22.59</v>
      </c>
      <c r="H3">
        <v>61.17</v>
      </c>
      <c r="I3">
        <v>1.75</v>
      </c>
      <c r="J3">
        <v>1209.75</v>
      </c>
      <c r="K3">
        <v>14.4</v>
      </c>
      <c r="L3">
        <v>0.74</v>
      </c>
      <c r="M3">
        <v>0</v>
      </c>
      <c r="N3">
        <v>0</v>
      </c>
      <c r="O3">
        <v>2</v>
      </c>
    </row>
    <row r="4" spans="1:21" x14ac:dyDescent="0.25">
      <c r="A4">
        <v>190</v>
      </c>
      <c r="B4" s="1">
        <v>43259</v>
      </c>
      <c r="C4" t="s">
        <v>19</v>
      </c>
      <c r="D4" t="s">
        <v>15</v>
      </c>
      <c r="E4" t="s">
        <v>16</v>
      </c>
      <c r="F4" s="4">
        <v>35103</v>
      </c>
      <c r="G4">
        <v>21.74</v>
      </c>
      <c r="H4">
        <v>68.459999999999994</v>
      </c>
      <c r="I4">
        <v>2.06</v>
      </c>
      <c r="J4">
        <v>1055.6300000000001</v>
      </c>
      <c r="K4">
        <v>15.34</v>
      </c>
      <c r="L4">
        <v>0.77</v>
      </c>
      <c r="M4">
        <v>0</v>
      </c>
      <c r="N4">
        <v>0</v>
      </c>
      <c r="O4">
        <v>3</v>
      </c>
    </row>
    <row r="5" spans="1:21" x14ac:dyDescent="0.25">
      <c r="A5">
        <v>202</v>
      </c>
      <c r="B5" s="1">
        <v>43271</v>
      </c>
      <c r="C5" t="s">
        <v>19</v>
      </c>
      <c r="D5" t="s">
        <v>15</v>
      </c>
      <c r="E5" t="s">
        <v>16</v>
      </c>
      <c r="F5" s="4">
        <v>34639</v>
      </c>
      <c r="G5">
        <v>22.7</v>
      </c>
      <c r="H5">
        <v>67.25</v>
      </c>
      <c r="I5">
        <v>2.4900000000000002</v>
      </c>
      <c r="J5">
        <v>859.92</v>
      </c>
      <c r="K5">
        <v>15.91</v>
      </c>
      <c r="L5">
        <v>1.02</v>
      </c>
      <c r="M5">
        <v>0</v>
      </c>
      <c r="N5">
        <v>0</v>
      </c>
      <c r="O5">
        <v>4</v>
      </c>
    </row>
    <row r="6" spans="1:21" x14ac:dyDescent="0.25">
      <c r="A6">
        <v>203</v>
      </c>
      <c r="B6" s="1">
        <v>43272</v>
      </c>
      <c r="C6" t="s">
        <v>19</v>
      </c>
      <c r="D6" t="s">
        <v>15</v>
      </c>
      <c r="E6" t="s">
        <v>16</v>
      </c>
      <c r="F6" s="4">
        <v>34621</v>
      </c>
      <c r="G6">
        <v>23.64</v>
      </c>
      <c r="H6">
        <v>60.96</v>
      </c>
      <c r="I6">
        <v>2.15</v>
      </c>
      <c r="J6">
        <v>1155.67</v>
      </c>
      <c r="K6">
        <v>14.95</v>
      </c>
      <c r="L6">
        <v>1.18</v>
      </c>
      <c r="M6">
        <v>0</v>
      </c>
      <c r="N6">
        <v>0</v>
      </c>
      <c r="O6">
        <v>5</v>
      </c>
    </row>
    <row r="7" spans="1:21" x14ac:dyDescent="0.25">
      <c r="A7">
        <v>194</v>
      </c>
      <c r="B7" s="1">
        <v>43263</v>
      </c>
      <c r="C7" t="s">
        <v>19</v>
      </c>
      <c r="D7" t="s">
        <v>15</v>
      </c>
      <c r="E7" t="s">
        <v>16</v>
      </c>
      <c r="F7" s="4">
        <v>34544</v>
      </c>
      <c r="G7">
        <v>21.18</v>
      </c>
      <c r="H7">
        <v>66.25</v>
      </c>
      <c r="I7">
        <v>1.66</v>
      </c>
      <c r="J7">
        <v>1975.88</v>
      </c>
      <c r="K7">
        <v>14.05</v>
      </c>
      <c r="L7">
        <v>0.98</v>
      </c>
      <c r="M7">
        <v>1</v>
      </c>
      <c r="N7">
        <v>0</v>
      </c>
    </row>
    <row r="8" spans="1:21" x14ac:dyDescent="0.25">
      <c r="A8">
        <v>198</v>
      </c>
      <c r="B8" s="1">
        <v>43267</v>
      </c>
      <c r="C8" t="s">
        <v>19</v>
      </c>
      <c r="D8" t="s">
        <v>15</v>
      </c>
      <c r="E8" t="s">
        <v>16</v>
      </c>
      <c r="F8" s="4">
        <v>34360</v>
      </c>
      <c r="G8">
        <v>22.3</v>
      </c>
      <c r="H8">
        <v>54.13</v>
      </c>
      <c r="I8">
        <v>1.48</v>
      </c>
      <c r="J8">
        <v>1880.83</v>
      </c>
      <c r="K8">
        <v>12.2</v>
      </c>
      <c r="L8">
        <v>1.17</v>
      </c>
      <c r="M8">
        <v>0</v>
      </c>
      <c r="N8">
        <v>0</v>
      </c>
    </row>
    <row r="9" spans="1:21" x14ac:dyDescent="0.25">
      <c r="A9">
        <v>204</v>
      </c>
      <c r="B9" s="1">
        <v>43273</v>
      </c>
      <c r="C9" t="s">
        <v>19</v>
      </c>
      <c r="D9" t="s">
        <v>15</v>
      </c>
      <c r="E9" t="s">
        <v>16</v>
      </c>
      <c r="F9" s="4">
        <v>34079</v>
      </c>
      <c r="G9">
        <v>24.69</v>
      </c>
      <c r="H9">
        <v>47.92</v>
      </c>
      <c r="I9">
        <v>1.73</v>
      </c>
      <c r="J9">
        <v>1303.29</v>
      </c>
      <c r="K9">
        <v>11.15</v>
      </c>
      <c r="L9">
        <v>1.1399999999999999</v>
      </c>
      <c r="M9">
        <v>0</v>
      </c>
      <c r="N9">
        <v>0</v>
      </c>
    </row>
    <row r="10" spans="1:21" x14ac:dyDescent="0.25">
      <c r="A10">
        <v>218</v>
      </c>
      <c r="B10" s="1">
        <v>43287</v>
      </c>
      <c r="C10" t="s">
        <v>19</v>
      </c>
      <c r="D10" t="s">
        <v>15</v>
      </c>
      <c r="E10" t="s">
        <v>16</v>
      </c>
      <c r="F10" s="4">
        <v>33676</v>
      </c>
      <c r="G10">
        <v>24.06</v>
      </c>
      <c r="H10">
        <v>58.42</v>
      </c>
      <c r="I10">
        <v>1.85</v>
      </c>
      <c r="J10">
        <v>2000</v>
      </c>
      <c r="K10">
        <v>15.27</v>
      </c>
      <c r="L10">
        <v>0.66</v>
      </c>
      <c r="M10">
        <v>0</v>
      </c>
      <c r="N10">
        <v>0</v>
      </c>
    </row>
    <row r="11" spans="1:21" x14ac:dyDescent="0.25">
      <c r="A11">
        <v>197</v>
      </c>
      <c r="B11" s="1">
        <v>43266</v>
      </c>
      <c r="C11" t="s">
        <v>19</v>
      </c>
      <c r="D11" t="s">
        <v>15</v>
      </c>
      <c r="E11" t="s">
        <v>16</v>
      </c>
      <c r="F11" s="4">
        <v>33492</v>
      </c>
      <c r="G11">
        <v>21.86</v>
      </c>
      <c r="H11">
        <v>60.75</v>
      </c>
      <c r="I11">
        <v>1.4</v>
      </c>
      <c r="J11">
        <v>1859.96</v>
      </c>
      <c r="K11">
        <v>13.37</v>
      </c>
      <c r="L11">
        <v>0.99</v>
      </c>
      <c r="M11">
        <v>16.5</v>
      </c>
      <c r="N11">
        <v>0</v>
      </c>
      <c r="Q11" s="7">
        <v>43264</v>
      </c>
      <c r="R11" s="5" t="s">
        <v>19</v>
      </c>
      <c r="S11" s="5" t="s">
        <v>15</v>
      </c>
      <c r="T11" s="5" t="s">
        <v>16</v>
      </c>
      <c r="U11" s="8">
        <v>36149</v>
      </c>
    </row>
    <row r="12" spans="1:21" x14ac:dyDescent="0.25">
      <c r="A12">
        <v>187</v>
      </c>
      <c r="B12" s="1">
        <v>43256</v>
      </c>
      <c r="C12" t="s">
        <v>19</v>
      </c>
      <c r="D12" t="s">
        <v>15</v>
      </c>
      <c r="E12" t="s">
        <v>16</v>
      </c>
      <c r="F12" s="4">
        <v>33424</v>
      </c>
      <c r="G12">
        <v>23.57</v>
      </c>
      <c r="H12">
        <v>52.21</v>
      </c>
      <c r="I12">
        <v>1.73</v>
      </c>
      <c r="J12">
        <v>1398.21</v>
      </c>
      <c r="K12">
        <v>12.51</v>
      </c>
      <c r="L12">
        <v>1.01</v>
      </c>
      <c r="M12">
        <v>0</v>
      </c>
      <c r="N12">
        <v>0</v>
      </c>
      <c r="Q12" s="9">
        <v>43270</v>
      </c>
      <c r="R12" s="6" t="s">
        <v>19</v>
      </c>
      <c r="S12" s="6" t="s">
        <v>15</v>
      </c>
      <c r="T12" s="6" t="s">
        <v>16</v>
      </c>
      <c r="U12" s="10">
        <v>35349</v>
      </c>
    </row>
    <row r="13" spans="1:21" x14ac:dyDescent="0.25">
      <c r="A13">
        <v>186</v>
      </c>
      <c r="B13" s="1">
        <v>43255</v>
      </c>
      <c r="C13" t="s">
        <v>19</v>
      </c>
      <c r="D13" t="s">
        <v>15</v>
      </c>
      <c r="E13" t="s">
        <v>16</v>
      </c>
      <c r="F13" s="4">
        <v>33257</v>
      </c>
      <c r="G13">
        <v>22.88</v>
      </c>
      <c r="H13">
        <v>47.67</v>
      </c>
      <c r="I13">
        <v>1.76</v>
      </c>
      <c r="J13">
        <v>1670.58</v>
      </c>
      <c r="K13">
        <v>10.84</v>
      </c>
      <c r="L13">
        <v>0.88</v>
      </c>
      <c r="M13">
        <v>0</v>
      </c>
      <c r="N13">
        <v>0</v>
      </c>
      <c r="Q13" s="7">
        <v>43259</v>
      </c>
      <c r="R13" s="5" t="s">
        <v>19</v>
      </c>
      <c r="S13" s="5" t="s">
        <v>15</v>
      </c>
      <c r="T13" s="5" t="s">
        <v>16</v>
      </c>
      <c r="U13" s="8">
        <v>35103</v>
      </c>
    </row>
    <row r="14" spans="1:21" x14ac:dyDescent="0.25">
      <c r="A14">
        <v>207</v>
      </c>
      <c r="B14" s="1">
        <v>43276</v>
      </c>
      <c r="C14" t="s">
        <v>19</v>
      </c>
      <c r="D14" t="s">
        <v>15</v>
      </c>
      <c r="E14" t="s">
        <v>16</v>
      </c>
      <c r="F14" s="4">
        <v>32702</v>
      </c>
      <c r="G14">
        <v>26.72</v>
      </c>
      <c r="H14">
        <v>58.46</v>
      </c>
      <c r="I14">
        <v>1.1499999999999999</v>
      </c>
      <c r="J14">
        <v>896.83</v>
      </c>
      <c r="K14">
        <v>17.05</v>
      </c>
      <c r="L14">
        <v>0.85</v>
      </c>
      <c r="M14">
        <v>0</v>
      </c>
      <c r="N14">
        <v>0</v>
      </c>
      <c r="Q14" s="9">
        <v>43271</v>
      </c>
      <c r="R14" s="6" t="s">
        <v>19</v>
      </c>
      <c r="S14" s="6" t="s">
        <v>15</v>
      </c>
      <c r="T14" s="6" t="s">
        <v>16</v>
      </c>
      <c r="U14" s="10">
        <v>34639</v>
      </c>
    </row>
    <row r="15" spans="1:21" x14ac:dyDescent="0.25">
      <c r="A15">
        <v>199</v>
      </c>
      <c r="B15" s="1">
        <v>43268</v>
      </c>
      <c r="C15" t="s">
        <v>19</v>
      </c>
      <c r="D15" t="s">
        <v>15</v>
      </c>
      <c r="E15" t="s">
        <v>16</v>
      </c>
      <c r="F15" s="4">
        <v>32487</v>
      </c>
      <c r="G15">
        <v>22.73</v>
      </c>
      <c r="H15">
        <v>67.13</v>
      </c>
      <c r="I15">
        <v>1.43</v>
      </c>
      <c r="J15">
        <v>812.71</v>
      </c>
      <c r="K15">
        <v>16.02</v>
      </c>
      <c r="L15">
        <v>0.62</v>
      </c>
      <c r="M15">
        <v>0</v>
      </c>
      <c r="N15">
        <v>0</v>
      </c>
      <c r="Q15" s="7">
        <v>43272</v>
      </c>
      <c r="R15" s="5" t="s">
        <v>19</v>
      </c>
      <c r="S15" s="5" t="s">
        <v>15</v>
      </c>
      <c r="T15" s="5" t="s">
        <v>16</v>
      </c>
      <c r="U15" s="8">
        <v>34621</v>
      </c>
    </row>
    <row r="16" spans="1:21" x14ac:dyDescent="0.25">
      <c r="A16">
        <v>189</v>
      </c>
      <c r="B16" s="1">
        <v>43258</v>
      </c>
      <c r="C16" t="s">
        <v>19</v>
      </c>
      <c r="D16" t="s">
        <v>15</v>
      </c>
      <c r="E16" t="s">
        <v>16</v>
      </c>
      <c r="F16" s="4">
        <v>32002</v>
      </c>
      <c r="G16">
        <v>22.3</v>
      </c>
      <c r="H16">
        <v>69.290000000000006</v>
      </c>
      <c r="I16">
        <v>1.94</v>
      </c>
      <c r="J16">
        <v>673.92</v>
      </c>
      <c r="K16">
        <v>15.8</v>
      </c>
      <c r="L16">
        <v>1</v>
      </c>
      <c r="M16">
        <v>0</v>
      </c>
      <c r="N16">
        <v>0</v>
      </c>
    </row>
    <row r="17" spans="1:21" x14ac:dyDescent="0.25">
      <c r="A17">
        <v>205</v>
      </c>
      <c r="B17" s="1">
        <v>43274</v>
      </c>
      <c r="C17" t="s">
        <v>19</v>
      </c>
      <c r="D17" t="s">
        <v>15</v>
      </c>
      <c r="E17" t="s">
        <v>16</v>
      </c>
      <c r="F17" s="4">
        <v>31949</v>
      </c>
      <c r="G17">
        <v>24.57</v>
      </c>
      <c r="H17">
        <v>47.58</v>
      </c>
      <c r="I17">
        <v>1.94</v>
      </c>
      <c r="J17">
        <v>1530.08</v>
      </c>
      <c r="K17">
        <v>12.2</v>
      </c>
      <c r="L17">
        <v>0.92</v>
      </c>
      <c r="M17">
        <v>0</v>
      </c>
      <c r="N17">
        <v>0</v>
      </c>
      <c r="Q17" s="7">
        <v>43147</v>
      </c>
      <c r="R17" s="5" t="s">
        <v>14</v>
      </c>
      <c r="S17" s="5" t="s">
        <v>3</v>
      </c>
      <c r="T17" s="5" t="s">
        <v>16</v>
      </c>
      <c r="U17" s="8">
        <v>2593</v>
      </c>
    </row>
    <row r="18" spans="1:21" x14ac:dyDescent="0.25">
      <c r="A18">
        <v>183</v>
      </c>
      <c r="B18" s="1">
        <v>43252</v>
      </c>
      <c r="C18" t="s">
        <v>19</v>
      </c>
      <c r="D18" t="s">
        <v>15</v>
      </c>
      <c r="E18" t="s">
        <v>16</v>
      </c>
      <c r="F18" s="4">
        <v>31928</v>
      </c>
      <c r="G18">
        <v>23.71</v>
      </c>
      <c r="H18">
        <v>50.13</v>
      </c>
      <c r="I18">
        <v>1.95</v>
      </c>
      <c r="J18">
        <v>1598.17</v>
      </c>
      <c r="K18">
        <v>11.86</v>
      </c>
      <c r="L18">
        <v>1.1599999999999999</v>
      </c>
      <c r="M18">
        <v>0</v>
      </c>
      <c r="N18">
        <v>0</v>
      </c>
      <c r="Q18" s="9">
        <v>43135</v>
      </c>
      <c r="R18" s="6" t="s">
        <v>14</v>
      </c>
      <c r="S18" s="6" t="s">
        <v>15</v>
      </c>
      <c r="T18" s="6" t="s">
        <v>16</v>
      </c>
      <c r="U18" s="10">
        <v>2487</v>
      </c>
    </row>
    <row r="19" spans="1:21" x14ac:dyDescent="0.25">
      <c r="A19">
        <v>286</v>
      </c>
      <c r="B19" s="1">
        <v>43355</v>
      </c>
      <c r="C19" t="s">
        <v>20</v>
      </c>
      <c r="D19" t="s">
        <v>15</v>
      </c>
      <c r="E19" t="s">
        <v>16</v>
      </c>
      <c r="F19" s="4">
        <v>31809</v>
      </c>
      <c r="G19">
        <v>22.53</v>
      </c>
      <c r="H19">
        <v>51.92</v>
      </c>
      <c r="I19">
        <v>1.32</v>
      </c>
      <c r="J19">
        <v>1988.79</v>
      </c>
      <c r="K19">
        <v>11.91</v>
      </c>
      <c r="L19">
        <v>0.85</v>
      </c>
      <c r="M19">
        <v>0</v>
      </c>
      <c r="N19">
        <v>0</v>
      </c>
      <c r="Q19" s="7">
        <v>43093</v>
      </c>
      <c r="R19" s="5" t="s">
        <v>14</v>
      </c>
      <c r="S19" s="5" t="s">
        <v>3</v>
      </c>
      <c r="T19" s="5" t="s">
        <v>16</v>
      </c>
      <c r="U19" s="8">
        <v>2014</v>
      </c>
    </row>
    <row r="20" spans="1:21" x14ac:dyDescent="0.25">
      <c r="A20">
        <v>216</v>
      </c>
      <c r="B20" s="1">
        <v>43285</v>
      </c>
      <c r="C20" t="s">
        <v>19</v>
      </c>
      <c r="D20" t="s">
        <v>15</v>
      </c>
      <c r="E20" t="s">
        <v>16</v>
      </c>
      <c r="F20" s="4">
        <v>31781</v>
      </c>
      <c r="G20">
        <v>27.46</v>
      </c>
      <c r="H20">
        <v>69.33</v>
      </c>
      <c r="I20">
        <v>1.66</v>
      </c>
      <c r="J20">
        <v>1868.42</v>
      </c>
      <c r="K20">
        <v>21.1</v>
      </c>
      <c r="L20">
        <v>0.93</v>
      </c>
      <c r="M20">
        <v>0</v>
      </c>
      <c r="N20">
        <v>0</v>
      </c>
      <c r="Q20" s="9">
        <v>43412</v>
      </c>
      <c r="R20" s="6" t="s">
        <v>20</v>
      </c>
      <c r="S20" s="6" t="s">
        <v>15</v>
      </c>
      <c r="T20" s="6" t="s">
        <v>16</v>
      </c>
      <c r="U20" s="10">
        <v>1721</v>
      </c>
    </row>
    <row r="21" spans="1:21" x14ac:dyDescent="0.25">
      <c r="A21">
        <v>285</v>
      </c>
      <c r="B21" s="1">
        <v>43354</v>
      </c>
      <c r="C21" t="s">
        <v>20</v>
      </c>
      <c r="D21" t="s">
        <v>15</v>
      </c>
      <c r="E21" t="s">
        <v>16</v>
      </c>
      <c r="F21" s="4">
        <v>31694</v>
      </c>
      <c r="G21">
        <v>21.57</v>
      </c>
      <c r="H21">
        <v>47.96</v>
      </c>
      <c r="I21">
        <v>1.48</v>
      </c>
      <c r="J21">
        <v>1998.54</v>
      </c>
      <c r="K21">
        <v>9.8800000000000008</v>
      </c>
      <c r="L21">
        <v>0.74</v>
      </c>
      <c r="M21">
        <v>0</v>
      </c>
      <c r="N21">
        <v>0</v>
      </c>
      <c r="Q21" s="7">
        <v>43213</v>
      </c>
      <c r="R21" s="5" t="s">
        <v>17</v>
      </c>
      <c r="S21" s="5" t="s">
        <v>15</v>
      </c>
      <c r="T21" s="5" t="s">
        <v>16</v>
      </c>
      <c r="U21" s="8">
        <v>977</v>
      </c>
    </row>
    <row r="22" spans="1:21" x14ac:dyDescent="0.25">
      <c r="A22">
        <v>182</v>
      </c>
      <c r="B22" s="1">
        <v>43251</v>
      </c>
      <c r="C22" t="s">
        <v>17</v>
      </c>
      <c r="D22" t="s">
        <v>15</v>
      </c>
      <c r="E22" t="s">
        <v>16</v>
      </c>
      <c r="F22" s="4">
        <v>31681</v>
      </c>
      <c r="G22">
        <v>20.53</v>
      </c>
      <c r="H22">
        <v>61.21</v>
      </c>
      <c r="I22">
        <v>1.94</v>
      </c>
      <c r="J22">
        <v>1246.21</v>
      </c>
      <c r="K22">
        <v>11.49</v>
      </c>
      <c r="L22">
        <v>1.1200000000000001</v>
      </c>
      <c r="M22">
        <v>0</v>
      </c>
      <c r="N22">
        <v>0</v>
      </c>
    </row>
    <row r="23" spans="1:21" x14ac:dyDescent="0.25">
      <c r="A23">
        <v>303</v>
      </c>
      <c r="B23" s="1">
        <v>43372</v>
      </c>
      <c r="C23" t="s">
        <v>20</v>
      </c>
      <c r="D23" t="s">
        <v>15</v>
      </c>
      <c r="E23" t="s">
        <v>16</v>
      </c>
      <c r="F23" s="4">
        <v>31447</v>
      </c>
      <c r="G23">
        <v>20.079999999999998</v>
      </c>
      <c r="H23">
        <v>55.42</v>
      </c>
      <c r="I23">
        <v>1.03</v>
      </c>
      <c r="J23">
        <v>1998.25</v>
      </c>
      <c r="K23">
        <v>10.1</v>
      </c>
      <c r="L23">
        <v>0.81</v>
      </c>
      <c r="M23">
        <v>0</v>
      </c>
      <c r="N23">
        <v>0</v>
      </c>
    </row>
    <row r="24" spans="1:21" x14ac:dyDescent="0.25">
      <c r="A24">
        <v>172</v>
      </c>
      <c r="B24" s="1">
        <v>43241</v>
      </c>
      <c r="C24" t="s">
        <v>17</v>
      </c>
      <c r="D24" t="s">
        <v>15</v>
      </c>
      <c r="E24" t="s">
        <v>16</v>
      </c>
      <c r="F24" s="4">
        <v>31236</v>
      </c>
      <c r="G24">
        <v>17.690000000000001</v>
      </c>
      <c r="H24">
        <v>31.46</v>
      </c>
      <c r="I24">
        <v>1.44</v>
      </c>
      <c r="J24">
        <v>1861.67</v>
      </c>
      <c r="K24">
        <v>3.41</v>
      </c>
      <c r="L24">
        <v>1.02</v>
      </c>
      <c r="M24">
        <v>0</v>
      </c>
      <c r="N24">
        <v>0</v>
      </c>
    </row>
    <row r="25" spans="1:21" x14ac:dyDescent="0.25">
      <c r="A25">
        <v>279</v>
      </c>
      <c r="B25" s="1">
        <v>43348</v>
      </c>
      <c r="C25" t="s">
        <v>20</v>
      </c>
      <c r="D25" t="s">
        <v>15</v>
      </c>
      <c r="E25" t="s">
        <v>16</v>
      </c>
      <c r="F25" s="4">
        <v>31114</v>
      </c>
      <c r="G25">
        <v>23.84</v>
      </c>
      <c r="H25">
        <v>61.79</v>
      </c>
      <c r="I25">
        <v>2.5</v>
      </c>
      <c r="J25">
        <v>1954.17</v>
      </c>
      <c r="K25">
        <v>15.44</v>
      </c>
      <c r="L25">
        <v>0.94</v>
      </c>
      <c r="M25">
        <v>0</v>
      </c>
      <c r="N25">
        <v>0</v>
      </c>
    </row>
    <row r="26" spans="1:21" x14ac:dyDescent="0.25">
      <c r="A26">
        <v>219</v>
      </c>
      <c r="B26" s="1">
        <v>43288</v>
      </c>
      <c r="C26" t="s">
        <v>19</v>
      </c>
      <c r="D26" t="s">
        <v>15</v>
      </c>
      <c r="E26" t="s">
        <v>16</v>
      </c>
      <c r="F26" s="4">
        <v>31076</v>
      </c>
      <c r="G26">
        <v>23.76</v>
      </c>
      <c r="H26">
        <v>51.75</v>
      </c>
      <c r="I26">
        <v>1.58</v>
      </c>
      <c r="J26">
        <v>1996.79</v>
      </c>
      <c r="K26">
        <v>13.05</v>
      </c>
      <c r="L26">
        <v>1.1399999999999999</v>
      </c>
      <c r="M26">
        <v>0</v>
      </c>
      <c r="N26">
        <v>0</v>
      </c>
    </row>
    <row r="27" spans="1:21" x14ac:dyDescent="0.25">
      <c r="A27">
        <v>179</v>
      </c>
      <c r="B27" s="1">
        <v>43248</v>
      </c>
      <c r="C27" t="s">
        <v>17</v>
      </c>
      <c r="D27" t="s">
        <v>15</v>
      </c>
      <c r="E27" t="s">
        <v>16</v>
      </c>
      <c r="F27" s="4">
        <v>31020</v>
      </c>
      <c r="G27">
        <v>21.97</v>
      </c>
      <c r="H27">
        <v>40</v>
      </c>
      <c r="I27">
        <v>1.55</v>
      </c>
      <c r="J27">
        <v>1658.67</v>
      </c>
      <c r="K27">
        <v>10.85</v>
      </c>
      <c r="L27">
        <v>1.1000000000000001</v>
      </c>
      <c r="M27">
        <v>0</v>
      </c>
      <c r="N27">
        <v>0</v>
      </c>
    </row>
    <row r="28" spans="1:21" x14ac:dyDescent="0.25">
      <c r="A28">
        <v>170</v>
      </c>
      <c r="B28" s="1">
        <v>43239</v>
      </c>
      <c r="C28" t="s">
        <v>17</v>
      </c>
      <c r="D28" t="s">
        <v>15</v>
      </c>
      <c r="E28" t="s">
        <v>16</v>
      </c>
      <c r="F28" s="4">
        <v>30994</v>
      </c>
      <c r="G28">
        <v>17.27</v>
      </c>
      <c r="H28">
        <v>47.08</v>
      </c>
      <c r="I28">
        <v>1.54</v>
      </c>
      <c r="J28">
        <v>1996.25</v>
      </c>
      <c r="K28">
        <v>5.82</v>
      </c>
      <c r="L28">
        <v>1.21</v>
      </c>
      <c r="M28">
        <v>0</v>
      </c>
      <c r="N28">
        <v>0</v>
      </c>
    </row>
    <row r="29" spans="1:21" x14ac:dyDescent="0.25">
      <c r="A29">
        <v>287</v>
      </c>
      <c r="B29" s="1">
        <v>43356</v>
      </c>
      <c r="C29" t="s">
        <v>20</v>
      </c>
      <c r="D29" t="s">
        <v>15</v>
      </c>
      <c r="E29" t="s">
        <v>16</v>
      </c>
      <c r="F29" s="4">
        <v>30991</v>
      </c>
      <c r="G29">
        <v>23.44</v>
      </c>
      <c r="H29">
        <v>62.29</v>
      </c>
      <c r="I29">
        <v>1.23</v>
      </c>
      <c r="J29">
        <v>1986.21</v>
      </c>
      <c r="K29">
        <v>15.63</v>
      </c>
      <c r="L29">
        <v>0.54</v>
      </c>
      <c r="M29">
        <v>0</v>
      </c>
      <c r="N29">
        <v>0</v>
      </c>
    </row>
    <row r="30" spans="1:21" x14ac:dyDescent="0.25">
      <c r="A30">
        <v>301</v>
      </c>
      <c r="B30" s="1">
        <v>43370</v>
      </c>
      <c r="C30" t="s">
        <v>20</v>
      </c>
      <c r="D30" t="s">
        <v>15</v>
      </c>
      <c r="E30" t="s">
        <v>16</v>
      </c>
      <c r="F30" s="4">
        <v>30789</v>
      </c>
      <c r="G30">
        <v>18.79</v>
      </c>
      <c r="H30">
        <v>47.13</v>
      </c>
      <c r="I30">
        <v>1.24</v>
      </c>
      <c r="J30">
        <v>1999.46</v>
      </c>
      <c r="K30">
        <v>6.9</v>
      </c>
      <c r="L30">
        <v>0.76</v>
      </c>
      <c r="M30">
        <v>0</v>
      </c>
      <c r="N30">
        <v>0</v>
      </c>
    </row>
    <row r="31" spans="1:21" x14ac:dyDescent="0.25">
      <c r="A31">
        <v>284</v>
      </c>
      <c r="B31" s="1">
        <v>43353</v>
      </c>
      <c r="C31" t="s">
        <v>20</v>
      </c>
      <c r="D31" t="s">
        <v>15</v>
      </c>
      <c r="E31" t="s">
        <v>16</v>
      </c>
      <c r="F31" s="4">
        <v>30781</v>
      </c>
      <c r="G31">
        <v>22.95</v>
      </c>
      <c r="H31">
        <v>50.08</v>
      </c>
      <c r="I31">
        <v>1.56</v>
      </c>
      <c r="J31">
        <v>1996.96</v>
      </c>
      <c r="K31">
        <v>11.65</v>
      </c>
      <c r="L31">
        <v>0.83</v>
      </c>
      <c r="M31">
        <v>0</v>
      </c>
      <c r="N31">
        <v>0</v>
      </c>
    </row>
    <row r="32" spans="1:21" x14ac:dyDescent="0.25">
      <c r="A32">
        <v>184</v>
      </c>
      <c r="B32" s="1">
        <v>43253</v>
      </c>
      <c r="C32" t="s">
        <v>19</v>
      </c>
      <c r="D32" t="s">
        <v>15</v>
      </c>
      <c r="E32" t="s">
        <v>16</v>
      </c>
      <c r="F32" s="4">
        <v>30693</v>
      </c>
      <c r="G32">
        <v>23.51</v>
      </c>
      <c r="H32">
        <v>43.88</v>
      </c>
      <c r="I32">
        <v>1.94</v>
      </c>
      <c r="J32">
        <v>1570.71</v>
      </c>
      <c r="K32">
        <v>9.06</v>
      </c>
      <c r="L32">
        <v>1.19</v>
      </c>
      <c r="M32">
        <v>0</v>
      </c>
      <c r="N32">
        <v>0</v>
      </c>
    </row>
    <row r="33" spans="1:14" x14ac:dyDescent="0.25">
      <c r="A33">
        <v>188</v>
      </c>
      <c r="B33" s="1">
        <v>43257</v>
      </c>
      <c r="C33" t="s">
        <v>19</v>
      </c>
      <c r="D33" t="s">
        <v>3</v>
      </c>
      <c r="E33" t="s">
        <v>16</v>
      </c>
      <c r="F33" s="4">
        <v>30498</v>
      </c>
      <c r="G33">
        <v>23.09</v>
      </c>
      <c r="H33">
        <v>60.38</v>
      </c>
      <c r="I33">
        <v>2.09</v>
      </c>
      <c r="J33">
        <v>1029.75</v>
      </c>
      <c r="K33">
        <v>14.73</v>
      </c>
      <c r="L33">
        <v>1.1100000000000001</v>
      </c>
      <c r="M33">
        <v>0</v>
      </c>
      <c r="N33">
        <v>0</v>
      </c>
    </row>
    <row r="34" spans="1:14" x14ac:dyDescent="0.25">
      <c r="A34">
        <v>281</v>
      </c>
      <c r="B34" s="1">
        <v>43350</v>
      </c>
      <c r="C34" t="s">
        <v>20</v>
      </c>
      <c r="D34" t="s">
        <v>15</v>
      </c>
      <c r="E34" t="s">
        <v>16</v>
      </c>
      <c r="F34" s="4">
        <v>30381</v>
      </c>
      <c r="G34">
        <v>22.16</v>
      </c>
      <c r="H34">
        <v>56.88</v>
      </c>
      <c r="I34">
        <v>2.48</v>
      </c>
      <c r="J34">
        <v>1848.71</v>
      </c>
      <c r="K34">
        <v>12.65</v>
      </c>
      <c r="L34">
        <v>0.82</v>
      </c>
      <c r="M34">
        <v>1.5</v>
      </c>
      <c r="N34">
        <v>0</v>
      </c>
    </row>
    <row r="35" spans="1:14" x14ac:dyDescent="0.25">
      <c r="A35">
        <v>181</v>
      </c>
      <c r="B35" s="1">
        <v>43250</v>
      </c>
      <c r="C35" t="s">
        <v>17</v>
      </c>
      <c r="D35" t="s">
        <v>15</v>
      </c>
      <c r="E35" t="s">
        <v>16</v>
      </c>
      <c r="F35" s="4">
        <v>30372</v>
      </c>
      <c r="G35">
        <v>20.54</v>
      </c>
      <c r="H35">
        <v>69.75</v>
      </c>
      <c r="I35">
        <v>1.78</v>
      </c>
      <c r="J35">
        <v>945.92</v>
      </c>
      <c r="K35">
        <v>14.38</v>
      </c>
      <c r="L35">
        <v>0.9</v>
      </c>
      <c r="M35">
        <v>0</v>
      </c>
      <c r="N35">
        <v>0</v>
      </c>
    </row>
    <row r="36" spans="1:14" x14ac:dyDescent="0.25">
      <c r="A36">
        <v>307</v>
      </c>
      <c r="B36" s="1">
        <v>43376</v>
      </c>
      <c r="C36" t="s">
        <v>20</v>
      </c>
      <c r="D36" t="s">
        <v>3</v>
      </c>
      <c r="E36" t="s">
        <v>16</v>
      </c>
      <c r="F36" s="4">
        <v>30349</v>
      </c>
      <c r="G36">
        <v>17.239999999999998</v>
      </c>
      <c r="H36">
        <v>59.13</v>
      </c>
      <c r="I36">
        <v>1.2</v>
      </c>
      <c r="J36">
        <v>1853.54</v>
      </c>
      <c r="K36">
        <v>8.36</v>
      </c>
      <c r="L36">
        <v>0.77</v>
      </c>
      <c r="M36">
        <v>0</v>
      </c>
      <c r="N36">
        <v>0</v>
      </c>
    </row>
    <row r="37" spans="1:14" x14ac:dyDescent="0.25">
      <c r="A37">
        <v>211</v>
      </c>
      <c r="B37" s="1">
        <v>43280</v>
      </c>
      <c r="C37" t="s">
        <v>19</v>
      </c>
      <c r="D37" t="s">
        <v>15</v>
      </c>
      <c r="E37" t="s">
        <v>16</v>
      </c>
      <c r="F37" s="4">
        <v>30297</v>
      </c>
      <c r="G37">
        <v>24.66</v>
      </c>
      <c r="H37">
        <v>79.25</v>
      </c>
      <c r="I37">
        <v>1.48</v>
      </c>
      <c r="J37">
        <v>563.88</v>
      </c>
      <c r="K37">
        <v>20.440000000000001</v>
      </c>
      <c r="L37">
        <v>0.78</v>
      </c>
      <c r="M37">
        <v>6.5</v>
      </c>
      <c r="N37">
        <v>0</v>
      </c>
    </row>
    <row r="38" spans="1:14" x14ac:dyDescent="0.25">
      <c r="A38">
        <v>291</v>
      </c>
      <c r="B38" s="1">
        <v>43360</v>
      </c>
      <c r="C38" t="s">
        <v>20</v>
      </c>
      <c r="D38" t="s">
        <v>15</v>
      </c>
      <c r="E38" t="s">
        <v>16</v>
      </c>
      <c r="F38" s="4">
        <v>30290</v>
      </c>
      <c r="G38">
        <v>22.33</v>
      </c>
      <c r="H38">
        <v>64.67</v>
      </c>
      <c r="I38">
        <v>2.02</v>
      </c>
      <c r="J38">
        <v>1598.29</v>
      </c>
      <c r="K38">
        <v>14.71</v>
      </c>
      <c r="L38">
        <v>0.85</v>
      </c>
      <c r="M38">
        <v>0.1</v>
      </c>
      <c r="N38">
        <v>0</v>
      </c>
    </row>
    <row r="39" spans="1:14" x14ac:dyDescent="0.25">
      <c r="A39">
        <v>225</v>
      </c>
      <c r="B39" s="1">
        <v>43294</v>
      </c>
      <c r="C39" t="s">
        <v>19</v>
      </c>
      <c r="D39" t="s">
        <v>15</v>
      </c>
      <c r="E39" t="s">
        <v>16</v>
      </c>
      <c r="F39" s="4">
        <v>30088</v>
      </c>
      <c r="G39">
        <v>27.17</v>
      </c>
      <c r="H39">
        <v>75.83</v>
      </c>
      <c r="I39">
        <v>1.85</v>
      </c>
      <c r="J39">
        <v>1591.96</v>
      </c>
      <c r="K39">
        <v>22.33</v>
      </c>
      <c r="L39">
        <v>0.65</v>
      </c>
      <c r="M39">
        <v>0</v>
      </c>
      <c r="N39">
        <v>0</v>
      </c>
    </row>
    <row r="40" spans="1:14" x14ac:dyDescent="0.25">
      <c r="A40">
        <v>220</v>
      </c>
      <c r="B40" s="1">
        <v>43289</v>
      </c>
      <c r="C40" t="s">
        <v>19</v>
      </c>
      <c r="D40" t="s">
        <v>15</v>
      </c>
      <c r="E40" t="s">
        <v>16</v>
      </c>
      <c r="F40" s="4">
        <v>30080</v>
      </c>
      <c r="G40">
        <v>23</v>
      </c>
      <c r="H40">
        <v>50.58</v>
      </c>
      <c r="I40">
        <v>1.52</v>
      </c>
      <c r="J40">
        <v>1989.54</v>
      </c>
      <c r="K40">
        <v>12</v>
      </c>
      <c r="L40">
        <v>1</v>
      </c>
      <c r="M40">
        <v>0</v>
      </c>
      <c r="N40">
        <v>0</v>
      </c>
    </row>
    <row r="41" spans="1:14" x14ac:dyDescent="0.25">
      <c r="A41">
        <v>282</v>
      </c>
      <c r="B41" s="1">
        <v>43351</v>
      </c>
      <c r="C41" t="s">
        <v>20</v>
      </c>
      <c r="D41" t="s">
        <v>15</v>
      </c>
      <c r="E41" t="s">
        <v>16</v>
      </c>
      <c r="F41" s="4">
        <v>29813</v>
      </c>
      <c r="G41">
        <v>21.69</v>
      </c>
      <c r="H41">
        <v>48.67</v>
      </c>
      <c r="I41">
        <v>1.67</v>
      </c>
      <c r="J41">
        <v>1982.13</v>
      </c>
      <c r="K41">
        <v>9.8000000000000007</v>
      </c>
      <c r="L41">
        <v>0.95</v>
      </c>
      <c r="M41">
        <v>0</v>
      </c>
      <c r="N41">
        <v>0</v>
      </c>
    </row>
    <row r="42" spans="1:14" x14ac:dyDescent="0.25">
      <c r="A42">
        <v>185</v>
      </c>
      <c r="B42" s="1">
        <v>43254</v>
      </c>
      <c r="C42" t="s">
        <v>19</v>
      </c>
      <c r="D42" t="s">
        <v>15</v>
      </c>
      <c r="E42" t="s">
        <v>16</v>
      </c>
      <c r="F42" s="4">
        <v>29761</v>
      </c>
      <c r="G42">
        <v>23.71</v>
      </c>
      <c r="H42">
        <v>41.17</v>
      </c>
      <c r="I42">
        <v>1.69</v>
      </c>
      <c r="J42">
        <v>1834.83</v>
      </c>
      <c r="K42">
        <v>8.6300000000000008</v>
      </c>
      <c r="L42">
        <v>1.1299999999999999</v>
      </c>
      <c r="M42">
        <v>0</v>
      </c>
      <c r="N42">
        <v>0</v>
      </c>
    </row>
    <row r="43" spans="1:14" x14ac:dyDescent="0.25">
      <c r="A43">
        <v>209</v>
      </c>
      <c r="B43" s="1">
        <v>43278</v>
      </c>
      <c r="C43" t="s">
        <v>19</v>
      </c>
      <c r="D43" t="s">
        <v>15</v>
      </c>
      <c r="E43" t="s">
        <v>16</v>
      </c>
      <c r="F43" s="4">
        <v>29755</v>
      </c>
      <c r="G43">
        <v>22.19</v>
      </c>
      <c r="H43">
        <v>83</v>
      </c>
      <c r="I43">
        <v>1.96</v>
      </c>
      <c r="J43">
        <v>618</v>
      </c>
      <c r="K43">
        <v>18.93</v>
      </c>
      <c r="L43">
        <v>0.56999999999999995</v>
      </c>
      <c r="M43">
        <v>1</v>
      </c>
      <c r="N43">
        <v>0</v>
      </c>
    </row>
    <row r="44" spans="1:14" x14ac:dyDescent="0.25">
      <c r="A44">
        <v>278</v>
      </c>
      <c r="B44" s="1">
        <v>43347</v>
      </c>
      <c r="C44" t="s">
        <v>20</v>
      </c>
      <c r="D44" t="s">
        <v>15</v>
      </c>
      <c r="E44" t="s">
        <v>16</v>
      </c>
      <c r="F44" s="4">
        <v>29529</v>
      </c>
      <c r="G44">
        <v>23.25</v>
      </c>
      <c r="H44">
        <v>71.63</v>
      </c>
      <c r="I44">
        <v>2.17</v>
      </c>
      <c r="J44">
        <v>1455.13</v>
      </c>
      <c r="K44">
        <v>17.14</v>
      </c>
      <c r="L44">
        <v>0.9</v>
      </c>
      <c r="M44">
        <v>0</v>
      </c>
      <c r="N44">
        <v>0</v>
      </c>
    </row>
    <row r="45" spans="1:14" x14ac:dyDescent="0.25">
      <c r="A45">
        <v>224</v>
      </c>
      <c r="B45" s="1">
        <v>43293</v>
      </c>
      <c r="C45" t="s">
        <v>19</v>
      </c>
      <c r="D45" t="s">
        <v>15</v>
      </c>
      <c r="E45" t="s">
        <v>16</v>
      </c>
      <c r="F45" s="4">
        <v>29428</v>
      </c>
      <c r="G45">
        <v>26.78</v>
      </c>
      <c r="H45">
        <v>81.42</v>
      </c>
      <c r="I45">
        <v>1.54</v>
      </c>
      <c r="J45">
        <v>1369.38</v>
      </c>
      <c r="K45">
        <v>23.23</v>
      </c>
      <c r="L45">
        <v>0.41</v>
      </c>
      <c r="M45">
        <v>1</v>
      </c>
      <c r="N45">
        <v>0</v>
      </c>
    </row>
    <row r="46" spans="1:14" x14ac:dyDescent="0.25">
      <c r="A46">
        <v>313</v>
      </c>
      <c r="B46" s="1">
        <v>43381</v>
      </c>
      <c r="C46" t="s">
        <v>20</v>
      </c>
      <c r="D46" t="s">
        <v>15</v>
      </c>
      <c r="E46" t="s">
        <v>16</v>
      </c>
      <c r="F46" s="4">
        <v>29362</v>
      </c>
      <c r="G46">
        <v>14.72</v>
      </c>
      <c r="H46">
        <v>46.46</v>
      </c>
      <c r="I46">
        <v>1.1100000000000001</v>
      </c>
      <c r="J46">
        <v>1984.33</v>
      </c>
      <c r="K46">
        <v>2.54</v>
      </c>
      <c r="L46">
        <v>0.64</v>
      </c>
      <c r="M46">
        <v>0</v>
      </c>
      <c r="N46">
        <v>0</v>
      </c>
    </row>
    <row r="47" spans="1:14" x14ac:dyDescent="0.25">
      <c r="A47">
        <v>192</v>
      </c>
      <c r="B47" s="1">
        <v>43261</v>
      </c>
      <c r="C47" t="s">
        <v>19</v>
      </c>
      <c r="D47" t="s">
        <v>15</v>
      </c>
      <c r="E47" t="s">
        <v>16</v>
      </c>
      <c r="F47" s="4">
        <v>29342</v>
      </c>
      <c r="G47">
        <v>21.3</v>
      </c>
      <c r="H47">
        <v>60.13</v>
      </c>
      <c r="I47">
        <v>1.38</v>
      </c>
      <c r="J47">
        <v>1997</v>
      </c>
      <c r="K47">
        <v>13.01</v>
      </c>
      <c r="L47">
        <v>0.53</v>
      </c>
      <c r="M47">
        <v>0.5</v>
      </c>
      <c r="N47">
        <v>0</v>
      </c>
    </row>
    <row r="48" spans="1:14" x14ac:dyDescent="0.25">
      <c r="A48">
        <v>215</v>
      </c>
      <c r="B48" s="1">
        <v>43284</v>
      </c>
      <c r="C48" t="s">
        <v>19</v>
      </c>
      <c r="D48" t="s">
        <v>15</v>
      </c>
      <c r="E48" t="s">
        <v>16</v>
      </c>
      <c r="F48" s="4">
        <v>29293</v>
      </c>
      <c r="G48">
        <v>27.12</v>
      </c>
      <c r="H48">
        <v>75.5</v>
      </c>
      <c r="I48">
        <v>0.78</v>
      </c>
      <c r="J48">
        <v>1792.46</v>
      </c>
      <c r="K48">
        <v>21.88</v>
      </c>
      <c r="L48">
        <v>0.95</v>
      </c>
      <c r="M48">
        <v>0.6</v>
      </c>
      <c r="N48">
        <v>0</v>
      </c>
    </row>
    <row r="49" spans="1:14" x14ac:dyDescent="0.25">
      <c r="A49">
        <v>176</v>
      </c>
      <c r="B49" s="1">
        <v>43245</v>
      </c>
      <c r="C49" t="s">
        <v>17</v>
      </c>
      <c r="D49" t="s">
        <v>15</v>
      </c>
      <c r="E49" t="s">
        <v>16</v>
      </c>
      <c r="F49" s="4">
        <v>29057</v>
      </c>
      <c r="G49">
        <v>19.75</v>
      </c>
      <c r="H49">
        <v>47.29</v>
      </c>
      <c r="I49">
        <v>1.76</v>
      </c>
      <c r="J49">
        <v>1318.63</v>
      </c>
      <c r="K49">
        <v>6.97</v>
      </c>
      <c r="L49">
        <v>1.06</v>
      </c>
      <c r="M49">
        <v>0</v>
      </c>
      <c r="N49">
        <v>0</v>
      </c>
    </row>
    <row r="50" spans="1:14" x14ac:dyDescent="0.25">
      <c r="A50">
        <v>178</v>
      </c>
      <c r="B50" s="1">
        <v>43247</v>
      </c>
      <c r="C50" t="s">
        <v>17</v>
      </c>
      <c r="D50" t="s">
        <v>15</v>
      </c>
      <c r="E50" t="s">
        <v>16</v>
      </c>
      <c r="F50" s="4">
        <v>28991</v>
      </c>
      <c r="G50">
        <v>20.59</v>
      </c>
      <c r="H50">
        <v>42.13</v>
      </c>
      <c r="I50">
        <v>1.93</v>
      </c>
      <c r="J50">
        <v>1557.75</v>
      </c>
      <c r="K50">
        <v>7.45</v>
      </c>
      <c r="L50">
        <v>0.71</v>
      </c>
      <c r="M50">
        <v>0</v>
      </c>
      <c r="N50">
        <v>0</v>
      </c>
    </row>
    <row r="51" spans="1:14" x14ac:dyDescent="0.25">
      <c r="A51">
        <v>160</v>
      </c>
      <c r="B51" s="1">
        <v>43229</v>
      </c>
      <c r="C51" t="s">
        <v>17</v>
      </c>
      <c r="D51" t="s">
        <v>15</v>
      </c>
      <c r="E51" t="s">
        <v>16</v>
      </c>
      <c r="F51" s="4">
        <v>28895</v>
      </c>
      <c r="G51">
        <v>15.46</v>
      </c>
      <c r="H51">
        <v>50.04</v>
      </c>
      <c r="I51">
        <v>1.7</v>
      </c>
      <c r="J51">
        <v>1958.79</v>
      </c>
      <c r="K51">
        <v>4.63</v>
      </c>
      <c r="L51">
        <v>1.1200000000000001</v>
      </c>
      <c r="M51">
        <v>0</v>
      </c>
      <c r="N51">
        <v>0</v>
      </c>
    </row>
    <row r="52" spans="1:14" x14ac:dyDescent="0.25">
      <c r="A52">
        <v>260</v>
      </c>
      <c r="B52" s="1">
        <v>43329</v>
      </c>
      <c r="C52" t="s">
        <v>19</v>
      </c>
      <c r="D52" t="s">
        <v>15</v>
      </c>
      <c r="E52" t="s">
        <v>16</v>
      </c>
      <c r="F52" s="4">
        <v>28820</v>
      </c>
      <c r="G52">
        <v>27.08</v>
      </c>
      <c r="H52">
        <v>39.83</v>
      </c>
      <c r="I52">
        <v>1.8</v>
      </c>
      <c r="J52">
        <v>1986.21</v>
      </c>
      <c r="K52">
        <v>11.67</v>
      </c>
      <c r="L52">
        <v>1.0900000000000001</v>
      </c>
      <c r="M52">
        <v>0</v>
      </c>
      <c r="N52">
        <v>0</v>
      </c>
    </row>
    <row r="53" spans="1:14" x14ac:dyDescent="0.25">
      <c r="A53">
        <v>175</v>
      </c>
      <c r="B53" s="1">
        <v>43244</v>
      </c>
      <c r="C53" t="s">
        <v>17</v>
      </c>
      <c r="D53" t="s">
        <v>15</v>
      </c>
      <c r="E53" t="s">
        <v>16</v>
      </c>
      <c r="F53" s="4">
        <v>28781</v>
      </c>
      <c r="G53">
        <v>17.96</v>
      </c>
      <c r="H53">
        <v>47.08</v>
      </c>
      <c r="I53">
        <v>2.2599999999999998</v>
      </c>
      <c r="J53">
        <v>1603.21</v>
      </c>
      <c r="K53">
        <v>5.88</v>
      </c>
      <c r="L53">
        <v>1.1299999999999999</v>
      </c>
      <c r="M53">
        <v>0</v>
      </c>
      <c r="N53">
        <v>0</v>
      </c>
    </row>
    <row r="54" spans="1:14" x14ac:dyDescent="0.25">
      <c r="A54">
        <v>166</v>
      </c>
      <c r="B54" s="1">
        <v>43235</v>
      </c>
      <c r="C54" t="s">
        <v>17</v>
      </c>
      <c r="D54" t="s">
        <v>15</v>
      </c>
      <c r="E54" t="s">
        <v>16</v>
      </c>
      <c r="F54" s="4">
        <v>28478</v>
      </c>
      <c r="G54">
        <v>22.69</v>
      </c>
      <c r="H54">
        <v>56.46</v>
      </c>
      <c r="I54">
        <v>1.08</v>
      </c>
      <c r="J54">
        <v>790.58</v>
      </c>
      <c r="K54">
        <v>12.73</v>
      </c>
      <c r="L54">
        <v>0.88</v>
      </c>
      <c r="M54">
        <v>0</v>
      </c>
      <c r="N54">
        <v>0</v>
      </c>
    </row>
    <row r="55" spans="1:14" x14ac:dyDescent="0.25">
      <c r="A55">
        <v>229</v>
      </c>
      <c r="B55" s="1">
        <v>43298</v>
      </c>
      <c r="C55" t="s">
        <v>19</v>
      </c>
      <c r="D55" t="s">
        <v>15</v>
      </c>
      <c r="E55" t="s">
        <v>16</v>
      </c>
      <c r="F55" s="4">
        <v>28435</v>
      </c>
      <c r="G55">
        <v>28.08</v>
      </c>
      <c r="H55">
        <v>65.42</v>
      </c>
      <c r="I55">
        <v>1.75</v>
      </c>
      <c r="J55">
        <v>1398.5</v>
      </c>
      <c r="K55">
        <v>20.65</v>
      </c>
      <c r="L55">
        <v>1.07</v>
      </c>
      <c r="M55">
        <v>0</v>
      </c>
      <c r="N55">
        <v>0</v>
      </c>
    </row>
    <row r="56" spans="1:14" x14ac:dyDescent="0.25">
      <c r="A56">
        <v>283</v>
      </c>
      <c r="B56" s="1">
        <v>43352</v>
      </c>
      <c r="C56" t="s">
        <v>20</v>
      </c>
      <c r="D56" t="s">
        <v>15</v>
      </c>
      <c r="E56" t="s">
        <v>16</v>
      </c>
      <c r="F56" s="4">
        <v>28354</v>
      </c>
      <c r="G56">
        <v>21.96</v>
      </c>
      <c r="H56">
        <v>49.46</v>
      </c>
      <c r="I56">
        <v>1.23</v>
      </c>
      <c r="J56">
        <v>1997.17</v>
      </c>
      <c r="K56">
        <v>10.26</v>
      </c>
      <c r="L56">
        <v>0.89</v>
      </c>
      <c r="M56">
        <v>0</v>
      </c>
      <c r="N56">
        <v>0</v>
      </c>
    </row>
    <row r="57" spans="1:14" x14ac:dyDescent="0.25">
      <c r="A57">
        <v>288</v>
      </c>
      <c r="B57" s="1">
        <v>43357</v>
      </c>
      <c r="C57" t="s">
        <v>20</v>
      </c>
      <c r="D57" t="s">
        <v>15</v>
      </c>
      <c r="E57" t="s">
        <v>16</v>
      </c>
      <c r="F57" s="4">
        <v>28199</v>
      </c>
      <c r="G57">
        <v>23.46</v>
      </c>
      <c r="H57">
        <v>67.209999999999994</v>
      </c>
      <c r="I57">
        <v>1.3</v>
      </c>
      <c r="J57">
        <v>1954.46</v>
      </c>
      <c r="K57">
        <v>16.82</v>
      </c>
      <c r="L57">
        <v>0.41</v>
      </c>
      <c r="M57">
        <v>0.5</v>
      </c>
      <c r="N57">
        <v>0</v>
      </c>
    </row>
    <row r="58" spans="1:14" x14ac:dyDescent="0.25">
      <c r="A58">
        <v>217</v>
      </c>
      <c r="B58" s="1">
        <v>43286</v>
      </c>
      <c r="C58" t="s">
        <v>19</v>
      </c>
      <c r="D58" t="s">
        <v>15</v>
      </c>
      <c r="E58" t="s">
        <v>16</v>
      </c>
      <c r="F58" s="4">
        <v>28182</v>
      </c>
      <c r="G58">
        <v>25.39</v>
      </c>
      <c r="H58">
        <v>74.709999999999994</v>
      </c>
      <c r="I58">
        <v>1.2</v>
      </c>
      <c r="J58">
        <v>1377.54</v>
      </c>
      <c r="K58">
        <v>20.43</v>
      </c>
      <c r="L58">
        <v>0.45</v>
      </c>
      <c r="M58">
        <v>0.5</v>
      </c>
      <c r="N58">
        <v>0</v>
      </c>
    </row>
    <row r="59" spans="1:14" x14ac:dyDescent="0.25">
      <c r="A59">
        <v>158</v>
      </c>
      <c r="B59" s="1">
        <v>43227</v>
      </c>
      <c r="C59" t="s">
        <v>17</v>
      </c>
      <c r="D59" t="s">
        <v>15</v>
      </c>
      <c r="E59" t="s">
        <v>16</v>
      </c>
      <c r="F59" s="4">
        <v>28140</v>
      </c>
      <c r="G59">
        <v>18.989999999999998</v>
      </c>
      <c r="H59">
        <v>62.71</v>
      </c>
      <c r="I59">
        <v>1.2</v>
      </c>
      <c r="J59">
        <v>1703.92</v>
      </c>
      <c r="K59">
        <v>10.74</v>
      </c>
      <c r="L59">
        <v>0.74</v>
      </c>
      <c r="M59">
        <v>0</v>
      </c>
      <c r="N59">
        <v>0</v>
      </c>
    </row>
    <row r="60" spans="1:14" x14ac:dyDescent="0.25">
      <c r="A60">
        <v>177</v>
      </c>
      <c r="B60" s="1">
        <v>43246</v>
      </c>
      <c r="C60" t="s">
        <v>17</v>
      </c>
      <c r="D60" t="s">
        <v>15</v>
      </c>
      <c r="E60" t="s">
        <v>16</v>
      </c>
      <c r="F60" s="4">
        <v>28079</v>
      </c>
      <c r="G60">
        <v>21.48</v>
      </c>
      <c r="H60">
        <v>50.25</v>
      </c>
      <c r="I60">
        <v>1.42</v>
      </c>
      <c r="J60">
        <v>1147.67</v>
      </c>
      <c r="K60">
        <v>9.7899999999999991</v>
      </c>
      <c r="L60">
        <v>1.1200000000000001</v>
      </c>
      <c r="M60">
        <v>0</v>
      </c>
      <c r="N60">
        <v>0</v>
      </c>
    </row>
    <row r="61" spans="1:14" x14ac:dyDescent="0.25">
      <c r="A61">
        <v>300</v>
      </c>
      <c r="B61" s="1">
        <v>43369</v>
      </c>
      <c r="C61" t="s">
        <v>20</v>
      </c>
      <c r="D61" t="s">
        <v>15</v>
      </c>
      <c r="E61" t="s">
        <v>16</v>
      </c>
      <c r="F61" s="4">
        <v>28018</v>
      </c>
      <c r="G61">
        <v>19.43</v>
      </c>
      <c r="H61">
        <v>47.63</v>
      </c>
      <c r="I61">
        <v>1.74</v>
      </c>
      <c r="J61">
        <v>1999.21</v>
      </c>
      <c r="K61">
        <v>7.63</v>
      </c>
      <c r="L61">
        <v>0.71</v>
      </c>
      <c r="M61">
        <v>0</v>
      </c>
      <c r="N61">
        <v>0</v>
      </c>
    </row>
    <row r="62" spans="1:14" x14ac:dyDescent="0.25">
      <c r="A62">
        <v>305</v>
      </c>
      <c r="B62" s="1">
        <v>43374</v>
      </c>
      <c r="C62" t="s">
        <v>20</v>
      </c>
      <c r="D62" t="s">
        <v>15</v>
      </c>
      <c r="E62" t="s">
        <v>16</v>
      </c>
      <c r="F62" s="4">
        <v>27909</v>
      </c>
      <c r="G62">
        <v>15.44</v>
      </c>
      <c r="H62">
        <v>54.25</v>
      </c>
      <c r="I62">
        <v>2.83</v>
      </c>
      <c r="J62">
        <v>1985.54</v>
      </c>
      <c r="K62">
        <v>5.98</v>
      </c>
      <c r="L62">
        <v>0.63</v>
      </c>
      <c r="M62">
        <v>0</v>
      </c>
      <c r="N62">
        <v>0</v>
      </c>
    </row>
    <row r="63" spans="1:14" x14ac:dyDescent="0.25">
      <c r="A63">
        <v>230</v>
      </c>
      <c r="B63" s="1">
        <v>43299</v>
      </c>
      <c r="C63" t="s">
        <v>19</v>
      </c>
      <c r="D63" t="s">
        <v>15</v>
      </c>
      <c r="E63" t="s">
        <v>16</v>
      </c>
      <c r="F63" s="4">
        <v>27896</v>
      </c>
      <c r="G63">
        <v>28.23</v>
      </c>
      <c r="H63">
        <v>65.209999999999994</v>
      </c>
      <c r="I63">
        <v>1.4</v>
      </c>
      <c r="J63">
        <v>1003.42</v>
      </c>
      <c r="K63">
        <v>20.59</v>
      </c>
      <c r="L63">
        <v>1.05</v>
      </c>
      <c r="M63">
        <v>0</v>
      </c>
      <c r="N63">
        <v>0</v>
      </c>
    </row>
    <row r="64" spans="1:14" x14ac:dyDescent="0.25">
      <c r="A64">
        <v>280</v>
      </c>
      <c r="B64" s="1">
        <v>43349</v>
      </c>
      <c r="C64" t="s">
        <v>20</v>
      </c>
      <c r="D64" t="s">
        <v>15</v>
      </c>
      <c r="E64" t="s">
        <v>16</v>
      </c>
      <c r="F64" s="4">
        <v>27838</v>
      </c>
      <c r="G64">
        <v>24.25</v>
      </c>
      <c r="H64">
        <v>70.790000000000006</v>
      </c>
      <c r="I64">
        <v>1.9</v>
      </c>
      <c r="J64">
        <v>1635.25</v>
      </c>
      <c r="K64">
        <v>18.260000000000002</v>
      </c>
      <c r="L64">
        <v>0.46</v>
      </c>
      <c r="M64">
        <v>0</v>
      </c>
      <c r="N64">
        <v>0</v>
      </c>
    </row>
    <row r="65" spans="1:14" x14ac:dyDescent="0.25">
      <c r="A65">
        <v>171</v>
      </c>
      <c r="B65" s="1">
        <v>43240</v>
      </c>
      <c r="C65" t="s">
        <v>17</v>
      </c>
      <c r="D65" t="s">
        <v>15</v>
      </c>
      <c r="E65" t="s">
        <v>16</v>
      </c>
      <c r="F65" s="4">
        <v>27829</v>
      </c>
      <c r="G65">
        <v>17.059999999999999</v>
      </c>
      <c r="H65">
        <v>33.83</v>
      </c>
      <c r="I65">
        <v>1.39</v>
      </c>
      <c r="J65">
        <v>2000</v>
      </c>
      <c r="K65">
        <v>0.55000000000000004</v>
      </c>
      <c r="L65">
        <v>0.6</v>
      </c>
      <c r="M65">
        <v>0</v>
      </c>
      <c r="N65">
        <v>0</v>
      </c>
    </row>
    <row r="66" spans="1:14" x14ac:dyDescent="0.25">
      <c r="A66">
        <v>231</v>
      </c>
      <c r="B66" s="1">
        <v>43300</v>
      </c>
      <c r="C66" t="s">
        <v>19</v>
      </c>
      <c r="D66" t="s">
        <v>15</v>
      </c>
      <c r="E66" t="s">
        <v>16</v>
      </c>
      <c r="F66" s="4">
        <v>27820</v>
      </c>
      <c r="G66">
        <v>28.56</v>
      </c>
      <c r="H66">
        <v>64.25</v>
      </c>
      <c r="I66">
        <v>1.72</v>
      </c>
      <c r="J66">
        <v>1330.79</v>
      </c>
      <c r="K66">
        <v>20.55</v>
      </c>
      <c r="L66">
        <v>1.1599999999999999</v>
      </c>
      <c r="M66">
        <v>0</v>
      </c>
      <c r="N66">
        <v>0</v>
      </c>
    </row>
    <row r="67" spans="1:14" x14ac:dyDescent="0.25">
      <c r="A67">
        <v>274</v>
      </c>
      <c r="B67" s="1">
        <v>43343</v>
      </c>
      <c r="C67" t="s">
        <v>19</v>
      </c>
      <c r="D67" t="s">
        <v>15</v>
      </c>
      <c r="E67" t="s">
        <v>16</v>
      </c>
      <c r="F67" s="4">
        <v>27817</v>
      </c>
      <c r="G67">
        <v>25.56</v>
      </c>
      <c r="H67">
        <v>67.17</v>
      </c>
      <c r="I67">
        <v>1.6</v>
      </c>
      <c r="J67">
        <v>1609</v>
      </c>
      <c r="K67">
        <v>18.489999999999998</v>
      </c>
      <c r="L67">
        <v>0.92</v>
      </c>
      <c r="M67">
        <v>0.1</v>
      </c>
      <c r="N67">
        <v>0</v>
      </c>
    </row>
    <row r="68" spans="1:14" x14ac:dyDescent="0.25">
      <c r="A68">
        <v>165</v>
      </c>
      <c r="B68" s="1">
        <v>43234</v>
      </c>
      <c r="C68" t="s">
        <v>17</v>
      </c>
      <c r="D68" t="s">
        <v>15</v>
      </c>
      <c r="E68" t="s">
        <v>16</v>
      </c>
      <c r="F68" s="4">
        <v>27793</v>
      </c>
      <c r="G68">
        <v>17.739999999999998</v>
      </c>
      <c r="H68">
        <v>72.42</v>
      </c>
      <c r="I68">
        <v>1.39</v>
      </c>
      <c r="J68">
        <v>364.21</v>
      </c>
      <c r="K68">
        <v>12.23</v>
      </c>
      <c r="L68">
        <v>0.8</v>
      </c>
      <c r="M68">
        <v>0</v>
      </c>
      <c r="N68">
        <v>0</v>
      </c>
    </row>
    <row r="69" spans="1:14" x14ac:dyDescent="0.25">
      <c r="A69">
        <v>174</v>
      </c>
      <c r="B69" s="1">
        <v>43243</v>
      </c>
      <c r="C69" t="s">
        <v>17</v>
      </c>
      <c r="D69" t="s">
        <v>15</v>
      </c>
      <c r="E69" t="s">
        <v>16</v>
      </c>
      <c r="F69" s="4">
        <v>27674</v>
      </c>
      <c r="G69">
        <v>17.45</v>
      </c>
      <c r="H69">
        <v>62</v>
      </c>
      <c r="I69">
        <v>2.7</v>
      </c>
      <c r="J69">
        <v>1652.75</v>
      </c>
      <c r="K69">
        <v>8.92</v>
      </c>
      <c r="L69">
        <v>1.22</v>
      </c>
      <c r="M69">
        <v>10</v>
      </c>
      <c r="N69">
        <v>0</v>
      </c>
    </row>
    <row r="70" spans="1:14" x14ac:dyDescent="0.25">
      <c r="A70">
        <v>312</v>
      </c>
      <c r="B70" s="1">
        <v>43380</v>
      </c>
      <c r="C70" t="s">
        <v>20</v>
      </c>
      <c r="D70" t="s">
        <v>15</v>
      </c>
      <c r="E70" t="s">
        <v>16</v>
      </c>
      <c r="F70" s="4">
        <v>27614</v>
      </c>
      <c r="G70">
        <v>16.760000000000002</v>
      </c>
      <c r="H70">
        <v>58.13</v>
      </c>
      <c r="I70">
        <v>1.71</v>
      </c>
      <c r="J70">
        <v>1836.13</v>
      </c>
      <c r="K70">
        <v>7.33</v>
      </c>
      <c r="L70">
        <v>0.65</v>
      </c>
      <c r="M70">
        <v>0</v>
      </c>
      <c r="N70">
        <v>0</v>
      </c>
    </row>
    <row r="71" spans="1:14" x14ac:dyDescent="0.25">
      <c r="A71">
        <v>200</v>
      </c>
      <c r="B71" s="1">
        <v>43269</v>
      </c>
      <c r="C71" t="s">
        <v>19</v>
      </c>
      <c r="D71" t="s">
        <v>15</v>
      </c>
      <c r="E71" t="s">
        <v>16</v>
      </c>
      <c r="F71" s="4">
        <v>27541</v>
      </c>
      <c r="G71">
        <v>24.8</v>
      </c>
      <c r="H71">
        <v>55.88</v>
      </c>
      <c r="I71">
        <v>1.53</v>
      </c>
      <c r="J71">
        <v>1225.17</v>
      </c>
      <c r="K71">
        <v>14.57</v>
      </c>
      <c r="L71">
        <v>1.0900000000000001</v>
      </c>
      <c r="M71">
        <v>0</v>
      </c>
      <c r="N71">
        <v>0</v>
      </c>
    </row>
    <row r="72" spans="1:14" x14ac:dyDescent="0.25">
      <c r="A72">
        <v>324</v>
      </c>
      <c r="B72" s="1">
        <v>43392</v>
      </c>
      <c r="C72" t="s">
        <v>20</v>
      </c>
      <c r="D72" t="s">
        <v>15</v>
      </c>
      <c r="E72" t="s">
        <v>16</v>
      </c>
      <c r="F72" s="4">
        <v>27437</v>
      </c>
      <c r="G72">
        <v>13.1</v>
      </c>
      <c r="H72">
        <v>54.42</v>
      </c>
      <c r="I72">
        <v>1.49</v>
      </c>
      <c r="J72">
        <v>1995.92</v>
      </c>
      <c r="K72">
        <v>3.22</v>
      </c>
      <c r="L72">
        <v>0.68</v>
      </c>
      <c r="M72">
        <v>0</v>
      </c>
      <c r="N72">
        <v>0</v>
      </c>
    </row>
    <row r="73" spans="1:14" x14ac:dyDescent="0.25">
      <c r="A73">
        <v>268</v>
      </c>
      <c r="B73" s="1">
        <v>43337</v>
      </c>
      <c r="C73" t="s">
        <v>19</v>
      </c>
      <c r="D73" t="s">
        <v>15</v>
      </c>
      <c r="E73" t="s">
        <v>16</v>
      </c>
      <c r="F73" s="4">
        <v>27302</v>
      </c>
      <c r="G73">
        <v>25.22</v>
      </c>
      <c r="H73">
        <v>68.790000000000006</v>
      </c>
      <c r="I73">
        <v>2.5499999999999998</v>
      </c>
      <c r="J73">
        <v>1799.63</v>
      </c>
      <c r="K73">
        <v>18.809999999999999</v>
      </c>
      <c r="L73">
        <v>0.68</v>
      </c>
      <c r="M73">
        <v>0</v>
      </c>
      <c r="N73">
        <v>0</v>
      </c>
    </row>
    <row r="74" spans="1:14" x14ac:dyDescent="0.25">
      <c r="A74">
        <v>330</v>
      </c>
      <c r="B74" s="1">
        <v>43398</v>
      </c>
      <c r="C74" t="s">
        <v>20</v>
      </c>
      <c r="D74" t="s">
        <v>15</v>
      </c>
      <c r="E74" t="s">
        <v>16</v>
      </c>
      <c r="F74" s="4">
        <v>27258</v>
      </c>
      <c r="G74">
        <v>13.58</v>
      </c>
      <c r="H74">
        <v>57.79</v>
      </c>
      <c r="I74">
        <v>0.93</v>
      </c>
      <c r="J74">
        <v>1613.21</v>
      </c>
      <c r="K74">
        <v>4.38</v>
      </c>
      <c r="L74">
        <v>0.56999999999999995</v>
      </c>
      <c r="M74">
        <v>0</v>
      </c>
      <c r="N74">
        <v>0</v>
      </c>
    </row>
    <row r="75" spans="1:14" x14ac:dyDescent="0.25">
      <c r="A75">
        <v>206</v>
      </c>
      <c r="B75" s="1">
        <v>43275</v>
      </c>
      <c r="C75" t="s">
        <v>19</v>
      </c>
      <c r="D75" t="s">
        <v>15</v>
      </c>
      <c r="E75" t="s">
        <v>16</v>
      </c>
      <c r="F75" s="4">
        <v>27028</v>
      </c>
      <c r="G75">
        <v>25.15</v>
      </c>
      <c r="H75">
        <v>62.13</v>
      </c>
      <c r="I75">
        <v>1.9</v>
      </c>
      <c r="J75">
        <v>865.25</v>
      </c>
      <c r="K75">
        <v>16.13</v>
      </c>
      <c r="L75">
        <v>1.07</v>
      </c>
      <c r="M75">
        <v>0</v>
      </c>
      <c r="N75">
        <v>0</v>
      </c>
    </row>
    <row r="76" spans="1:14" x14ac:dyDescent="0.25">
      <c r="A76">
        <v>321</v>
      </c>
      <c r="B76" s="1">
        <v>43389</v>
      </c>
      <c r="C76" t="s">
        <v>20</v>
      </c>
      <c r="D76" t="s">
        <v>15</v>
      </c>
      <c r="E76" t="s">
        <v>16</v>
      </c>
      <c r="F76" s="4">
        <v>26956</v>
      </c>
      <c r="G76">
        <v>14.48</v>
      </c>
      <c r="H76">
        <v>55.63</v>
      </c>
      <c r="I76">
        <v>1.2</v>
      </c>
      <c r="J76">
        <v>1407.63</v>
      </c>
      <c r="K76">
        <v>4.9400000000000004</v>
      </c>
      <c r="L76">
        <v>0.55000000000000004</v>
      </c>
      <c r="M76">
        <v>0</v>
      </c>
      <c r="N76">
        <v>0</v>
      </c>
    </row>
    <row r="77" spans="1:14" x14ac:dyDescent="0.25">
      <c r="A77">
        <v>276</v>
      </c>
      <c r="B77" s="1">
        <v>43345</v>
      </c>
      <c r="C77" t="s">
        <v>20</v>
      </c>
      <c r="D77" t="s">
        <v>15</v>
      </c>
      <c r="E77" t="s">
        <v>16</v>
      </c>
      <c r="F77" s="4">
        <v>26881</v>
      </c>
      <c r="G77">
        <v>24.99</v>
      </c>
      <c r="H77">
        <v>54.54</v>
      </c>
      <c r="I77">
        <v>1.5</v>
      </c>
      <c r="J77">
        <v>1994.04</v>
      </c>
      <c r="K77">
        <v>14.92</v>
      </c>
      <c r="L77">
        <v>0.85</v>
      </c>
      <c r="M77">
        <v>0</v>
      </c>
      <c r="N77">
        <v>0</v>
      </c>
    </row>
    <row r="78" spans="1:14" x14ac:dyDescent="0.25">
      <c r="A78">
        <v>263</v>
      </c>
      <c r="B78" s="1">
        <v>43332</v>
      </c>
      <c r="C78" t="s">
        <v>19</v>
      </c>
      <c r="D78" t="s">
        <v>15</v>
      </c>
      <c r="E78" t="s">
        <v>16</v>
      </c>
      <c r="F78" s="4">
        <v>26827</v>
      </c>
      <c r="G78">
        <v>28.95</v>
      </c>
      <c r="H78">
        <v>55.79</v>
      </c>
      <c r="I78">
        <v>1.98</v>
      </c>
      <c r="J78">
        <v>1781.67</v>
      </c>
      <c r="K78">
        <v>18.97</v>
      </c>
      <c r="L78">
        <v>0.63</v>
      </c>
      <c r="M78">
        <v>0</v>
      </c>
      <c r="N78">
        <v>0</v>
      </c>
    </row>
    <row r="79" spans="1:14" x14ac:dyDescent="0.25">
      <c r="A79">
        <v>228</v>
      </c>
      <c r="B79" s="1">
        <v>43297</v>
      </c>
      <c r="C79" t="s">
        <v>19</v>
      </c>
      <c r="D79" t="s">
        <v>15</v>
      </c>
      <c r="E79" t="s">
        <v>16</v>
      </c>
      <c r="F79" s="4">
        <v>26823</v>
      </c>
      <c r="G79">
        <v>28.73</v>
      </c>
      <c r="H79">
        <v>64.33</v>
      </c>
      <c r="I79">
        <v>1.72</v>
      </c>
      <c r="J79">
        <v>1722.25</v>
      </c>
      <c r="K79">
        <v>20.77</v>
      </c>
      <c r="L79">
        <v>1.1100000000000001</v>
      </c>
      <c r="M79">
        <v>0</v>
      </c>
      <c r="N79">
        <v>0</v>
      </c>
    </row>
    <row r="80" spans="1:14" x14ac:dyDescent="0.25">
      <c r="A80">
        <v>152</v>
      </c>
      <c r="B80" s="1">
        <v>43221</v>
      </c>
      <c r="C80" t="s">
        <v>17</v>
      </c>
      <c r="D80" t="s">
        <v>3</v>
      </c>
      <c r="E80" t="s">
        <v>16</v>
      </c>
      <c r="F80" s="4">
        <v>26820</v>
      </c>
      <c r="G80">
        <v>20.34</v>
      </c>
      <c r="H80">
        <v>72.790000000000006</v>
      </c>
      <c r="I80">
        <v>1.44</v>
      </c>
      <c r="J80">
        <v>456.46</v>
      </c>
      <c r="K80">
        <v>15.12</v>
      </c>
      <c r="L80">
        <v>0.52</v>
      </c>
      <c r="M80">
        <v>0</v>
      </c>
      <c r="N80">
        <v>0</v>
      </c>
    </row>
    <row r="81" spans="1:14" x14ac:dyDescent="0.25">
      <c r="A81">
        <v>232</v>
      </c>
      <c r="B81" s="1">
        <v>43301</v>
      </c>
      <c r="C81" t="s">
        <v>19</v>
      </c>
      <c r="D81" t="s">
        <v>15</v>
      </c>
      <c r="E81" t="s">
        <v>16</v>
      </c>
      <c r="F81" s="4">
        <v>26699</v>
      </c>
      <c r="G81">
        <v>29.4</v>
      </c>
      <c r="H81">
        <v>63.42</v>
      </c>
      <c r="I81">
        <v>1.43</v>
      </c>
      <c r="J81">
        <v>1336.29</v>
      </c>
      <c r="K81">
        <v>21.17</v>
      </c>
      <c r="L81">
        <v>1.07</v>
      </c>
      <c r="M81">
        <v>0</v>
      </c>
      <c r="N81">
        <v>0</v>
      </c>
    </row>
    <row r="82" spans="1:14" x14ac:dyDescent="0.25">
      <c r="A82">
        <v>155</v>
      </c>
      <c r="B82" s="1">
        <v>43224</v>
      </c>
      <c r="C82" t="s">
        <v>17</v>
      </c>
      <c r="D82" t="s">
        <v>15</v>
      </c>
      <c r="E82" t="s">
        <v>16</v>
      </c>
      <c r="F82" s="4">
        <v>26670</v>
      </c>
      <c r="G82">
        <v>13.84</v>
      </c>
      <c r="H82">
        <v>46.83</v>
      </c>
      <c r="I82">
        <v>2.69</v>
      </c>
      <c r="J82">
        <v>1815.79</v>
      </c>
      <c r="K82">
        <v>1.94</v>
      </c>
      <c r="L82">
        <v>1.1399999999999999</v>
      </c>
      <c r="M82">
        <v>0</v>
      </c>
      <c r="N82">
        <v>0</v>
      </c>
    </row>
    <row r="83" spans="1:14" x14ac:dyDescent="0.25">
      <c r="A83">
        <v>162</v>
      </c>
      <c r="B83" s="1">
        <v>43231</v>
      </c>
      <c r="C83" t="s">
        <v>17</v>
      </c>
      <c r="D83" t="s">
        <v>15</v>
      </c>
      <c r="E83" t="s">
        <v>16</v>
      </c>
      <c r="F83" s="4">
        <v>26649</v>
      </c>
      <c r="G83">
        <v>15.81</v>
      </c>
      <c r="H83">
        <v>63.5</v>
      </c>
      <c r="I83">
        <v>1.71</v>
      </c>
      <c r="J83">
        <v>689.46</v>
      </c>
      <c r="K83">
        <v>8.2899999999999991</v>
      </c>
      <c r="L83">
        <v>0.78</v>
      </c>
      <c r="M83">
        <v>0</v>
      </c>
      <c r="N83">
        <v>0</v>
      </c>
    </row>
    <row r="84" spans="1:14" x14ac:dyDescent="0.25">
      <c r="A84">
        <v>323</v>
      </c>
      <c r="B84" s="1">
        <v>43391</v>
      </c>
      <c r="C84" t="s">
        <v>20</v>
      </c>
      <c r="D84" t="s">
        <v>15</v>
      </c>
      <c r="E84" t="s">
        <v>16</v>
      </c>
      <c r="F84" s="4">
        <v>26504</v>
      </c>
      <c r="G84">
        <v>12.6</v>
      </c>
      <c r="H84">
        <v>59.67</v>
      </c>
      <c r="I84">
        <v>1.1299999999999999</v>
      </c>
      <c r="J84">
        <v>1995.92</v>
      </c>
      <c r="K84">
        <v>4.43</v>
      </c>
      <c r="L84">
        <v>0.56000000000000005</v>
      </c>
      <c r="M84">
        <v>0</v>
      </c>
      <c r="N84">
        <v>0</v>
      </c>
    </row>
    <row r="85" spans="1:14" x14ac:dyDescent="0.25">
      <c r="A85">
        <v>322</v>
      </c>
      <c r="B85" s="1">
        <v>43390</v>
      </c>
      <c r="C85" t="s">
        <v>20</v>
      </c>
      <c r="D85" t="s">
        <v>15</v>
      </c>
      <c r="E85" t="s">
        <v>16</v>
      </c>
      <c r="F85" s="4">
        <v>26502</v>
      </c>
      <c r="G85">
        <v>12.78</v>
      </c>
      <c r="H85">
        <v>53.04</v>
      </c>
      <c r="I85">
        <v>1.22</v>
      </c>
      <c r="J85">
        <v>1572.29</v>
      </c>
      <c r="K85">
        <v>2.14</v>
      </c>
      <c r="L85">
        <v>0.69</v>
      </c>
      <c r="M85">
        <v>0</v>
      </c>
      <c r="N85">
        <v>0</v>
      </c>
    </row>
    <row r="86" spans="1:14" x14ac:dyDescent="0.25">
      <c r="A86">
        <v>159</v>
      </c>
      <c r="B86" s="1">
        <v>43228</v>
      </c>
      <c r="C86" t="s">
        <v>17</v>
      </c>
      <c r="D86" t="s">
        <v>15</v>
      </c>
      <c r="E86" t="s">
        <v>16</v>
      </c>
      <c r="F86" s="4">
        <v>26429</v>
      </c>
      <c r="G86">
        <v>17.760000000000002</v>
      </c>
      <c r="H86">
        <v>52.08</v>
      </c>
      <c r="I86">
        <v>1.7</v>
      </c>
      <c r="J86">
        <v>1939.17</v>
      </c>
      <c r="K86">
        <v>7.45</v>
      </c>
      <c r="L86">
        <v>0.97</v>
      </c>
      <c r="M86">
        <v>0</v>
      </c>
      <c r="N86">
        <v>0</v>
      </c>
    </row>
    <row r="87" spans="1:14" x14ac:dyDescent="0.25">
      <c r="A87">
        <v>329</v>
      </c>
      <c r="B87" s="1">
        <v>43397</v>
      </c>
      <c r="C87" t="s">
        <v>20</v>
      </c>
      <c r="D87" t="s">
        <v>15</v>
      </c>
      <c r="E87" t="s">
        <v>16</v>
      </c>
      <c r="F87" s="4">
        <v>26418</v>
      </c>
      <c r="G87">
        <v>12.58</v>
      </c>
      <c r="H87">
        <v>67.040000000000006</v>
      </c>
      <c r="I87">
        <v>1.27</v>
      </c>
      <c r="J87">
        <v>1421.83</v>
      </c>
      <c r="K87">
        <v>5.98</v>
      </c>
      <c r="L87">
        <v>0.56999999999999995</v>
      </c>
      <c r="M87">
        <v>0</v>
      </c>
      <c r="N87">
        <v>0</v>
      </c>
    </row>
    <row r="88" spans="1:14" x14ac:dyDescent="0.25">
      <c r="A88">
        <v>261</v>
      </c>
      <c r="B88" s="1">
        <v>43330</v>
      </c>
      <c r="C88" t="s">
        <v>19</v>
      </c>
      <c r="D88" t="s">
        <v>15</v>
      </c>
      <c r="E88" t="s">
        <v>16</v>
      </c>
      <c r="F88" s="4">
        <v>26398</v>
      </c>
      <c r="G88">
        <v>26.55</v>
      </c>
      <c r="H88">
        <v>44.54</v>
      </c>
      <c r="I88">
        <v>1.4</v>
      </c>
      <c r="J88">
        <v>1982.46</v>
      </c>
      <c r="K88">
        <v>13.03</v>
      </c>
      <c r="L88">
        <v>0.97</v>
      </c>
      <c r="M88">
        <v>0</v>
      </c>
      <c r="N88">
        <v>0</v>
      </c>
    </row>
    <row r="89" spans="1:14" x14ac:dyDescent="0.25">
      <c r="A89">
        <v>296</v>
      </c>
      <c r="B89" s="1">
        <v>43365</v>
      </c>
      <c r="C89" t="s">
        <v>20</v>
      </c>
      <c r="D89" t="s">
        <v>15</v>
      </c>
      <c r="E89" t="s">
        <v>16</v>
      </c>
      <c r="F89" s="4">
        <v>26398</v>
      </c>
      <c r="G89">
        <v>21.01</v>
      </c>
      <c r="H89">
        <v>63.42</v>
      </c>
      <c r="I89">
        <v>1.73</v>
      </c>
      <c r="J89">
        <v>1551.33</v>
      </c>
      <c r="K89">
        <v>12.62</v>
      </c>
      <c r="L89">
        <v>0.79</v>
      </c>
      <c r="M89">
        <v>6.5</v>
      </c>
      <c r="N89">
        <v>0</v>
      </c>
    </row>
    <row r="90" spans="1:14" x14ac:dyDescent="0.25">
      <c r="A90">
        <v>146</v>
      </c>
      <c r="B90" s="1">
        <v>43215</v>
      </c>
      <c r="C90" t="s">
        <v>17</v>
      </c>
      <c r="D90" t="s">
        <v>15</v>
      </c>
      <c r="E90" t="s">
        <v>16</v>
      </c>
      <c r="F90" s="4">
        <v>26285</v>
      </c>
      <c r="G90">
        <v>14.25</v>
      </c>
      <c r="H90">
        <v>38.79</v>
      </c>
      <c r="I90">
        <v>1.47</v>
      </c>
      <c r="J90">
        <v>1880.33</v>
      </c>
      <c r="K90">
        <v>-0.81</v>
      </c>
      <c r="L90">
        <v>1.04</v>
      </c>
      <c r="M90">
        <v>0</v>
      </c>
      <c r="N90">
        <v>0</v>
      </c>
    </row>
    <row r="91" spans="1:14" x14ac:dyDescent="0.25">
      <c r="A91">
        <v>317</v>
      </c>
      <c r="B91" s="1">
        <v>43385</v>
      </c>
      <c r="C91" t="s">
        <v>20</v>
      </c>
      <c r="D91" t="s">
        <v>15</v>
      </c>
      <c r="E91" t="s">
        <v>16</v>
      </c>
      <c r="F91" s="4">
        <v>26237</v>
      </c>
      <c r="G91">
        <v>10.81</v>
      </c>
      <c r="H91">
        <v>53.25</v>
      </c>
      <c r="I91">
        <v>1.24</v>
      </c>
      <c r="J91">
        <v>1962.67</v>
      </c>
      <c r="K91">
        <v>1.0900000000000001</v>
      </c>
      <c r="L91">
        <v>0.74</v>
      </c>
      <c r="M91">
        <v>0</v>
      </c>
      <c r="N91">
        <v>0</v>
      </c>
    </row>
    <row r="92" spans="1:14" x14ac:dyDescent="0.25">
      <c r="A92">
        <v>320</v>
      </c>
      <c r="B92" s="1">
        <v>43388</v>
      </c>
      <c r="C92" t="s">
        <v>20</v>
      </c>
      <c r="D92" t="s">
        <v>15</v>
      </c>
      <c r="E92" t="s">
        <v>16</v>
      </c>
      <c r="F92" s="4">
        <v>26198</v>
      </c>
      <c r="G92">
        <v>15.09</v>
      </c>
      <c r="H92">
        <v>70.42</v>
      </c>
      <c r="I92">
        <v>1.32</v>
      </c>
      <c r="J92">
        <v>764.42</v>
      </c>
      <c r="K92">
        <v>9.34</v>
      </c>
      <c r="L92">
        <v>0.47</v>
      </c>
      <c r="M92">
        <v>0</v>
      </c>
      <c r="N92">
        <v>0</v>
      </c>
    </row>
    <row r="93" spans="1:14" x14ac:dyDescent="0.25">
      <c r="A93">
        <v>327</v>
      </c>
      <c r="B93" s="1">
        <v>43395</v>
      </c>
      <c r="C93" t="s">
        <v>20</v>
      </c>
      <c r="D93" t="s">
        <v>15</v>
      </c>
      <c r="E93" t="s">
        <v>16</v>
      </c>
      <c r="F93" s="4">
        <v>26075</v>
      </c>
      <c r="G93">
        <v>13.99</v>
      </c>
      <c r="H93">
        <v>49.54</v>
      </c>
      <c r="I93">
        <v>0.94</v>
      </c>
      <c r="J93">
        <v>1184.46</v>
      </c>
      <c r="K93">
        <v>3.03</v>
      </c>
      <c r="L93">
        <v>0.51</v>
      </c>
      <c r="M93">
        <v>0</v>
      </c>
      <c r="N93">
        <v>0</v>
      </c>
    </row>
    <row r="94" spans="1:14" x14ac:dyDescent="0.25">
      <c r="A94">
        <v>265</v>
      </c>
      <c r="B94" s="1">
        <v>43334</v>
      </c>
      <c r="C94" t="s">
        <v>19</v>
      </c>
      <c r="D94" t="s">
        <v>15</v>
      </c>
      <c r="E94" t="s">
        <v>16</v>
      </c>
      <c r="F94" s="4">
        <v>26072</v>
      </c>
      <c r="G94">
        <v>30.22</v>
      </c>
      <c r="H94">
        <v>56.75</v>
      </c>
      <c r="I94">
        <v>1.1499999999999999</v>
      </c>
      <c r="J94">
        <v>1962.79</v>
      </c>
      <c r="K94">
        <v>19.809999999999999</v>
      </c>
      <c r="L94">
        <v>0.93</v>
      </c>
      <c r="M94">
        <v>0</v>
      </c>
      <c r="N94">
        <v>0</v>
      </c>
    </row>
    <row r="95" spans="1:14" x14ac:dyDescent="0.25">
      <c r="A95">
        <v>275</v>
      </c>
      <c r="B95" s="1">
        <v>43344</v>
      </c>
      <c r="C95" t="s">
        <v>20</v>
      </c>
      <c r="D95" t="s">
        <v>15</v>
      </c>
      <c r="E95" t="s">
        <v>16</v>
      </c>
      <c r="F95" s="4">
        <v>26010</v>
      </c>
      <c r="G95">
        <v>25.45</v>
      </c>
      <c r="H95">
        <v>61.21</v>
      </c>
      <c r="I95">
        <v>1.21</v>
      </c>
      <c r="J95">
        <v>1839.08</v>
      </c>
      <c r="K95">
        <v>16.73</v>
      </c>
      <c r="L95">
        <v>0.88</v>
      </c>
      <c r="M95">
        <v>0</v>
      </c>
      <c r="N95">
        <v>0</v>
      </c>
    </row>
    <row r="96" spans="1:14" x14ac:dyDescent="0.25">
      <c r="A96">
        <v>237</v>
      </c>
      <c r="B96" s="1">
        <v>43306</v>
      </c>
      <c r="C96" t="s">
        <v>19</v>
      </c>
      <c r="D96" t="s">
        <v>15</v>
      </c>
      <c r="E96" t="s">
        <v>16</v>
      </c>
      <c r="F96" s="4">
        <v>25918</v>
      </c>
      <c r="G96">
        <v>30.29</v>
      </c>
      <c r="H96">
        <v>65.17</v>
      </c>
      <c r="I96">
        <v>2.4500000000000002</v>
      </c>
      <c r="J96">
        <v>1490.63</v>
      </c>
      <c r="K96">
        <v>22.83</v>
      </c>
      <c r="L96">
        <v>0.6</v>
      </c>
      <c r="M96">
        <v>0</v>
      </c>
      <c r="N96">
        <v>0</v>
      </c>
    </row>
    <row r="97" spans="1:14" x14ac:dyDescent="0.25">
      <c r="A97">
        <v>164</v>
      </c>
      <c r="B97" s="1">
        <v>43233</v>
      </c>
      <c r="C97" t="s">
        <v>17</v>
      </c>
      <c r="D97" t="s">
        <v>15</v>
      </c>
      <c r="E97" t="s">
        <v>16</v>
      </c>
      <c r="F97" s="4">
        <v>25913</v>
      </c>
      <c r="G97">
        <v>15.95</v>
      </c>
      <c r="H97">
        <v>83.63</v>
      </c>
      <c r="I97">
        <v>1.81</v>
      </c>
      <c r="J97">
        <v>683.17</v>
      </c>
      <c r="K97">
        <v>12.87</v>
      </c>
      <c r="L97">
        <v>0.68</v>
      </c>
      <c r="M97">
        <v>1</v>
      </c>
      <c r="N97">
        <v>0</v>
      </c>
    </row>
    <row r="98" spans="1:14" x14ac:dyDescent="0.25">
      <c r="A98">
        <v>191</v>
      </c>
      <c r="B98" s="1">
        <v>43260</v>
      </c>
      <c r="C98" t="s">
        <v>19</v>
      </c>
      <c r="D98" t="s">
        <v>15</v>
      </c>
      <c r="E98" t="s">
        <v>16</v>
      </c>
      <c r="F98" s="4">
        <v>25911</v>
      </c>
      <c r="G98">
        <v>23.68</v>
      </c>
      <c r="H98">
        <v>61.29</v>
      </c>
      <c r="I98">
        <v>1.38</v>
      </c>
      <c r="J98">
        <v>1225</v>
      </c>
      <c r="K98">
        <v>14.98</v>
      </c>
      <c r="L98">
        <v>0.84</v>
      </c>
      <c r="M98">
        <v>0.5</v>
      </c>
      <c r="N98">
        <v>0</v>
      </c>
    </row>
    <row r="99" spans="1:14" x14ac:dyDescent="0.25">
      <c r="A99">
        <v>148</v>
      </c>
      <c r="B99" s="1">
        <v>43217</v>
      </c>
      <c r="C99" t="s">
        <v>17</v>
      </c>
      <c r="D99" t="s">
        <v>15</v>
      </c>
      <c r="E99" t="s">
        <v>16</v>
      </c>
      <c r="F99" s="4">
        <v>25861</v>
      </c>
      <c r="G99">
        <v>15.58</v>
      </c>
      <c r="H99">
        <v>51.71</v>
      </c>
      <c r="I99">
        <v>1.7</v>
      </c>
      <c r="J99">
        <v>985.75</v>
      </c>
      <c r="K99">
        <v>5.13</v>
      </c>
      <c r="L99">
        <v>0.95</v>
      </c>
      <c r="M99">
        <v>0</v>
      </c>
      <c r="N99">
        <v>0</v>
      </c>
    </row>
    <row r="100" spans="1:14" x14ac:dyDescent="0.25">
      <c r="A100">
        <v>226</v>
      </c>
      <c r="B100" s="1">
        <v>43295</v>
      </c>
      <c r="C100" t="s">
        <v>19</v>
      </c>
      <c r="D100" t="s">
        <v>15</v>
      </c>
      <c r="E100" t="s">
        <v>16</v>
      </c>
      <c r="F100" s="4">
        <v>25814</v>
      </c>
      <c r="G100">
        <v>27.91</v>
      </c>
      <c r="H100">
        <v>70.17</v>
      </c>
      <c r="I100">
        <v>1.83</v>
      </c>
      <c r="J100">
        <v>1624.38</v>
      </c>
      <c r="K100">
        <v>21.66</v>
      </c>
      <c r="L100">
        <v>0.9</v>
      </c>
      <c r="M100">
        <v>0</v>
      </c>
      <c r="N100">
        <v>0</v>
      </c>
    </row>
    <row r="101" spans="1:14" x14ac:dyDescent="0.25">
      <c r="A101">
        <v>147</v>
      </c>
      <c r="B101" s="1">
        <v>43216</v>
      </c>
      <c r="C101" t="s">
        <v>17</v>
      </c>
      <c r="D101" t="s">
        <v>15</v>
      </c>
      <c r="E101" t="s">
        <v>16</v>
      </c>
      <c r="F101" s="4">
        <v>25670</v>
      </c>
      <c r="G101">
        <v>15.09</v>
      </c>
      <c r="H101">
        <v>50.08</v>
      </c>
      <c r="I101">
        <v>1.87</v>
      </c>
      <c r="J101">
        <v>1355.67</v>
      </c>
      <c r="K101">
        <v>3.88</v>
      </c>
      <c r="L101">
        <v>0.91</v>
      </c>
      <c r="M101">
        <v>0</v>
      </c>
      <c r="N101">
        <v>0</v>
      </c>
    </row>
    <row r="102" spans="1:14" x14ac:dyDescent="0.25">
      <c r="A102">
        <v>318</v>
      </c>
      <c r="B102" s="1">
        <v>43386</v>
      </c>
      <c r="C102" t="s">
        <v>20</v>
      </c>
      <c r="D102" t="s">
        <v>15</v>
      </c>
      <c r="E102" t="s">
        <v>16</v>
      </c>
      <c r="F102" s="4">
        <v>25542</v>
      </c>
      <c r="G102">
        <v>12.4</v>
      </c>
      <c r="H102">
        <v>55.67</v>
      </c>
      <c r="I102">
        <v>1.05</v>
      </c>
      <c r="J102">
        <v>1375.25</v>
      </c>
      <c r="K102">
        <v>2.77</v>
      </c>
      <c r="L102">
        <v>0.7</v>
      </c>
      <c r="M102">
        <v>0</v>
      </c>
      <c r="N102">
        <v>0</v>
      </c>
    </row>
    <row r="103" spans="1:14" x14ac:dyDescent="0.25">
      <c r="A103">
        <v>151</v>
      </c>
      <c r="B103" s="1">
        <v>43220</v>
      </c>
      <c r="C103" t="s">
        <v>17</v>
      </c>
      <c r="D103" t="s">
        <v>15</v>
      </c>
      <c r="E103" t="s">
        <v>16</v>
      </c>
      <c r="F103" s="4">
        <v>25462</v>
      </c>
      <c r="G103">
        <v>18.829999999999998</v>
      </c>
      <c r="H103">
        <v>60.38</v>
      </c>
      <c r="I103">
        <v>1.59</v>
      </c>
      <c r="J103">
        <v>495.33</v>
      </c>
      <c r="K103">
        <v>10.69</v>
      </c>
      <c r="L103">
        <v>0.86</v>
      </c>
      <c r="M103">
        <v>0</v>
      </c>
      <c r="N103">
        <v>0</v>
      </c>
    </row>
    <row r="104" spans="1:14" x14ac:dyDescent="0.25">
      <c r="A104">
        <v>325</v>
      </c>
      <c r="B104" s="1">
        <v>43393</v>
      </c>
      <c r="C104" t="s">
        <v>20</v>
      </c>
      <c r="D104" t="s">
        <v>15</v>
      </c>
      <c r="E104" t="s">
        <v>16</v>
      </c>
      <c r="F104" s="4">
        <v>25355</v>
      </c>
      <c r="G104">
        <v>13.41</v>
      </c>
      <c r="H104">
        <v>53.63</v>
      </c>
      <c r="I104">
        <v>1.08</v>
      </c>
      <c r="J104">
        <v>1657.67</v>
      </c>
      <c r="K104">
        <v>2.8</v>
      </c>
      <c r="L104">
        <v>0.67</v>
      </c>
      <c r="M104">
        <v>0</v>
      </c>
      <c r="N104">
        <v>0</v>
      </c>
    </row>
    <row r="105" spans="1:14" x14ac:dyDescent="0.25">
      <c r="A105">
        <v>156</v>
      </c>
      <c r="B105" s="1">
        <v>43225</v>
      </c>
      <c r="C105" t="s">
        <v>17</v>
      </c>
      <c r="D105" t="s">
        <v>15</v>
      </c>
      <c r="E105" t="s">
        <v>16</v>
      </c>
      <c r="F105" s="4">
        <v>25353</v>
      </c>
      <c r="G105">
        <v>17.73</v>
      </c>
      <c r="H105">
        <v>46.79</v>
      </c>
      <c r="I105">
        <v>2.73</v>
      </c>
      <c r="J105">
        <v>1848.75</v>
      </c>
      <c r="K105">
        <v>5.69</v>
      </c>
      <c r="L105">
        <v>0.93</v>
      </c>
      <c r="M105">
        <v>0</v>
      </c>
      <c r="N105">
        <v>0</v>
      </c>
    </row>
    <row r="106" spans="1:14" x14ac:dyDescent="0.25">
      <c r="A106">
        <v>150</v>
      </c>
      <c r="B106" s="1">
        <v>43219</v>
      </c>
      <c r="C106" t="s">
        <v>17</v>
      </c>
      <c r="D106" t="s">
        <v>15</v>
      </c>
      <c r="E106" t="s">
        <v>16</v>
      </c>
      <c r="F106" s="4">
        <v>25349</v>
      </c>
      <c r="G106">
        <v>15.87</v>
      </c>
      <c r="H106">
        <v>43.13</v>
      </c>
      <c r="I106">
        <v>1.9</v>
      </c>
      <c r="J106">
        <v>1252.71</v>
      </c>
      <c r="K106">
        <v>2.44</v>
      </c>
      <c r="L106">
        <v>1.02</v>
      </c>
      <c r="M106">
        <v>0</v>
      </c>
      <c r="N106">
        <v>0</v>
      </c>
    </row>
    <row r="107" spans="1:14" x14ac:dyDescent="0.25">
      <c r="A107">
        <v>259</v>
      </c>
      <c r="B107" s="1">
        <v>43328</v>
      </c>
      <c r="C107" t="s">
        <v>19</v>
      </c>
      <c r="D107" t="s">
        <v>15</v>
      </c>
      <c r="E107" t="s">
        <v>16</v>
      </c>
      <c r="F107" s="4">
        <v>25329</v>
      </c>
      <c r="G107">
        <v>30.15</v>
      </c>
      <c r="H107">
        <v>53.17</v>
      </c>
      <c r="I107">
        <v>1.63</v>
      </c>
      <c r="J107">
        <v>1996.13</v>
      </c>
      <c r="K107">
        <v>19.04</v>
      </c>
      <c r="L107">
        <v>1.04</v>
      </c>
      <c r="M107">
        <v>0</v>
      </c>
      <c r="N107">
        <v>0</v>
      </c>
    </row>
    <row r="108" spans="1:14" x14ac:dyDescent="0.25">
      <c r="A108">
        <v>264</v>
      </c>
      <c r="B108" s="1">
        <v>43333</v>
      </c>
      <c r="C108" t="s">
        <v>19</v>
      </c>
      <c r="D108" t="s">
        <v>15</v>
      </c>
      <c r="E108" t="s">
        <v>16</v>
      </c>
      <c r="F108" s="4">
        <v>25133</v>
      </c>
      <c r="G108">
        <v>26.78</v>
      </c>
      <c r="H108">
        <v>70.17</v>
      </c>
      <c r="I108">
        <v>2.76</v>
      </c>
      <c r="J108">
        <v>1746.38</v>
      </c>
      <c r="K108">
        <v>20.58</v>
      </c>
      <c r="L108">
        <v>0.54</v>
      </c>
      <c r="M108">
        <v>5</v>
      </c>
      <c r="N108">
        <v>0</v>
      </c>
    </row>
    <row r="109" spans="1:14" x14ac:dyDescent="0.25">
      <c r="A109">
        <v>289</v>
      </c>
      <c r="B109" s="1">
        <v>43358</v>
      </c>
      <c r="C109" t="s">
        <v>20</v>
      </c>
      <c r="D109" t="s">
        <v>15</v>
      </c>
      <c r="E109" t="s">
        <v>16</v>
      </c>
      <c r="F109" s="4">
        <v>25079</v>
      </c>
      <c r="G109">
        <v>23.21</v>
      </c>
      <c r="H109">
        <v>75.88</v>
      </c>
      <c r="I109">
        <v>0.99</v>
      </c>
      <c r="J109">
        <v>1951.33</v>
      </c>
      <c r="K109">
        <v>18.579999999999998</v>
      </c>
      <c r="L109">
        <v>0.31</v>
      </c>
      <c r="M109">
        <v>0.2</v>
      </c>
      <c r="N109">
        <v>0</v>
      </c>
    </row>
    <row r="110" spans="1:14" x14ac:dyDescent="0.25">
      <c r="A110">
        <v>149</v>
      </c>
      <c r="B110" s="1">
        <v>43218</v>
      </c>
      <c r="C110" t="s">
        <v>17</v>
      </c>
      <c r="D110" t="s">
        <v>15</v>
      </c>
      <c r="E110" t="s">
        <v>16</v>
      </c>
      <c r="F110" s="4">
        <v>24940</v>
      </c>
      <c r="G110">
        <v>15.51</v>
      </c>
      <c r="H110">
        <v>50.5</v>
      </c>
      <c r="I110">
        <v>2.0299999999999998</v>
      </c>
      <c r="J110">
        <v>1153.21</v>
      </c>
      <c r="K110">
        <v>3.88</v>
      </c>
      <c r="L110">
        <v>1.0900000000000001</v>
      </c>
      <c r="M110">
        <v>0</v>
      </c>
      <c r="N110">
        <v>0</v>
      </c>
    </row>
    <row r="111" spans="1:14" x14ac:dyDescent="0.25">
      <c r="A111">
        <v>238</v>
      </c>
      <c r="B111" s="1">
        <v>43307</v>
      </c>
      <c r="C111" t="s">
        <v>19</v>
      </c>
      <c r="D111" t="s">
        <v>15</v>
      </c>
      <c r="E111" t="s">
        <v>16</v>
      </c>
      <c r="F111" s="4">
        <v>24915</v>
      </c>
      <c r="G111">
        <v>30</v>
      </c>
      <c r="H111">
        <v>68.92</v>
      </c>
      <c r="I111">
        <v>1.44</v>
      </c>
      <c r="J111">
        <v>1090.67</v>
      </c>
      <c r="K111">
        <v>23.46</v>
      </c>
      <c r="L111">
        <v>0.51</v>
      </c>
      <c r="M111">
        <v>0</v>
      </c>
      <c r="N111">
        <v>0</v>
      </c>
    </row>
    <row r="112" spans="1:14" x14ac:dyDescent="0.25">
      <c r="A112">
        <v>235</v>
      </c>
      <c r="B112" s="1">
        <v>43304</v>
      </c>
      <c r="C112" t="s">
        <v>19</v>
      </c>
      <c r="D112" t="s">
        <v>15</v>
      </c>
      <c r="E112" t="s">
        <v>16</v>
      </c>
      <c r="F112" s="4">
        <v>24890</v>
      </c>
      <c r="G112">
        <v>31.62</v>
      </c>
      <c r="H112">
        <v>52.83</v>
      </c>
      <c r="I112">
        <v>1.89</v>
      </c>
      <c r="J112">
        <v>1893.25</v>
      </c>
      <c r="K112">
        <v>20.69</v>
      </c>
      <c r="L112">
        <v>0.79</v>
      </c>
      <c r="M112">
        <v>0</v>
      </c>
      <c r="N112">
        <v>0</v>
      </c>
    </row>
    <row r="113" spans="1:14" x14ac:dyDescent="0.25">
      <c r="A113">
        <v>193</v>
      </c>
      <c r="B113" s="1">
        <v>43262</v>
      </c>
      <c r="C113" t="s">
        <v>19</v>
      </c>
      <c r="D113" t="s">
        <v>15</v>
      </c>
      <c r="E113" t="s">
        <v>16</v>
      </c>
      <c r="F113" s="4">
        <v>24832</v>
      </c>
      <c r="G113">
        <v>20.56</v>
      </c>
      <c r="H113">
        <v>63.38</v>
      </c>
      <c r="I113">
        <v>1.42</v>
      </c>
      <c r="J113">
        <v>1912.79</v>
      </c>
      <c r="K113">
        <v>13</v>
      </c>
      <c r="L113">
        <v>0.47</v>
      </c>
      <c r="M113">
        <v>4</v>
      </c>
      <c r="N113">
        <v>0</v>
      </c>
    </row>
    <row r="114" spans="1:14" x14ac:dyDescent="0.25">
      <c r="A114">
        <v>236</v>
      </c>
      <c r="B114" s="1">
        <v>43305</v>
      </c>
      <c r="C114" t="s">
        <v>19</v>
      </c>
      <c r="D114" t="s">
        <v>15</v>
      </c>
      <c r="E114" t="s">
        <v>16</v>
      </c>
      <c r="F114" s="4">
        <v>24635</v>
      </c>
      <c r="G114">
        <v>31.43</v>
      </c>
      <c r="H114">
        <v>58.5</v>
      </c>
      <c r="I114">
        <v>1.53</v>
      </c>
      <c r="J114">
        <v>1663.71</v>
      </c>
      <c r="K114">
        <v>22.06</v>
      </c>
      <c r="L114">
        <v>0.77</v>
      </c>
      <c r="M114">
        <v>0</v>
      </c>
      <c r="N114">
        <v>0</v>
      </c>
    </row>
    <row r="115" spans="1:14" x14ac:dyDescent="0.25">
      <c r="A115">
        <v>262</v>
      </c>
      <c r="B115" s="1">
        <v>43331</v>
      </c>
      <c r="C115" t="s">
        <v>19</v>
      </c>
      <c r="D115" t="s">
        <v>15</v>
      </c>
      <c r="E115" t="s">
        <v>16</v>
      </c>
      <c r="F115" s="4">
        <v>24547</v>
      </c>
      <c r="G115">
        <v>27.86</v>
      </c>
      <c r="H115">
        <v>50.58</v>
      </c>
      <c r="I115">
        <v>1.23</v>
      </c>
      <c r="J115">
        <v>1982.04</v>
      </c>
      <c r="K115">
        <v>16.09</v>
      </c>
      <c r="L115">
        <v>0.82</v>
      </c>
      <c r="M115">
        <v>0</v>
      </c>
      <c r="N115">
        <v>0</v>
      </c>
    </row>
    <row r="116" spans="1:14" x14ac:dyDescent="0.25">
      <c r="A116">
        <v>316</v>
      </c>
      <c r="B116" s="1">
        <v>43384</v>
      </c>
      <c r="C116" t="s">
        <v>20</v>
      </c>
      <c r="D116" t="s">
        <v>15</v>
      </c>
      <c r="E116" t="s">
        <v>16</v>
      </c>
      <c r="F116" s="4">
        <v>24526</v>
      </c>
      <c r="G116">
        <v>9.68</v>
      </c>
      <c r="H116">
        <v>50.25</v>
      </c>
      <c r="I116">
        <v>2.2000000000000002</v>
      </c>
      <c r="J116">
        <v>1991.71</v>
      </c>
      <c r="K116">
        <v>-0.68</v>
      </c>
      <c r="L116">
        <v>0.64</v>
      </c>
      <c r="M116">
        <v>0</v>
      </c>
      <c r="N116">
        <v>0</v>
      </c>
    </row>
    <row r="117" spans="1:14" x14ac:dyDescent="0.25">
      <c r="A117">
        <v>315</v>
      </c>
      <c r="B117" s="1">
        <v>43383</v>
      </c>
      <c r="C117" t="s">
        <v>20</v>
      </c>
      <c r="D117" t="s">
        <v>15</v>
      </c>
      <c r="E117" t="s">
        <v>16</v>
      </c>
      <c r="F117" s="4">
        <v>24410</v>
      </c>
      <c r="G117">
        <v>12.81</v>
      </c>
      <c r="H117">
        <v>61.29</v>
      </c>
      <c r="I117">
        <v>2.39</v>
      </c>
      <c r="J117">
        <v>1701.92</v>
      </c>
      <c r="K117">
        <v>4.96</v>
      </c>
      <c r="L117">
        <v>0.43</v>
      </c>
      <c r="M117">
        <v>7</v>
      </c>
      <c r="N117">
        <v>0</v>
      </c>
    </row>
    <row r="118" spans="1:14" x14ac:dyDescent="0.25">
      <c r="A118">
        <v>142</v>
      </c>
      <c r="B118" s="1">
        <v>43211</v>
      </c>
      <c r="C118" t="s">
        <v>17</v>
      </c>
      <c r="D118" t="s">
        <v>15</v>
      </c>
      <c r="E118" t="s">
        <v>16</v>
      </c>
      <c r="F118" s="4">
        <v>24404</v>
      </c>
      <c r="G118">
        <v>18.66</v>
      </c>
      <c r="H118">
        <v>35.33</v>
      </c>
      <c r="I118">
        <v>1.83</v>
      </c>
      <c r="J118">
        <v>1292.71</v>
      </c>
      <c r="K118">
        <v>-0.13</v>
      </c>
      <c r="L118">
        <v>1.0900000000000001</v>
      </c>
      <c r="M118">
        <v>0</v>
      </c>
      <c r="N118">
        <v>0</v>
      </c>
    </row>
    <row r="119" spans="1:14" x14ac:dyDescent="0.25">
      <c r="A119">
        <v>180</v>
      </c>
      <c r="B119" s="1">
        <v>43249</v>
      </c>
      <c r="C119" t="s">
        <v>17</v>
      </c>
      <c r="D119" t="s">
        <v>15</v>
      </c>
      <c r="E119" t="s">
        <v>16</v>
      </c>
      <c r="F119" s="4">
        <v>24355</v>
      </c>
      <c r="G119">
        <v>21.54</v>
      </c>
      <c r="H119">
        <v>66.42</v>
      </c>
      <c r="I119">
        <v>1.87</v>
      </c>
      <c r="J119">
        <v>1123.04</v>
      </c>
      <c r="K119">
        <v>13.4</v>
      </c>
      <c r="L119">
        <v>0.56000000000000005</v>
      </c>
      <c r="M119">
        <v>1</v>
      </c>
      <c r="N119">
        <v>0</v>
      </c>
    </row>
    <row r="120" spans="1:14" x14ac:dyDescent="0.25">
      <c r="A120">
        <v>319</v>
      </c>
      <c r="B120" s="1">
        <v>43387</v>
      </c>
      <c r="C120" t="s">
        <v>20</v>
      </c>
      <c r="D120" t="s">
        <v>15</v>
      </c>
      <c r="E120" t="s">
        <v>16</v>
      </c>
      <c r="F120" s="4">
        <v>24349</v>
      </c>
      <c r="G120">
        <v>13</v>
      </c>
      <c r="H120">
        <v>58</v>
      </c>
      <c r="I120">
        <v>1.38</v>
      </c>
      <c r="J120">
        <v>1315.38</v>
      </c>
      <c r="K120">
        <v>4.0999999999999996</v>
      </c>
      <c r="L120">
        <v>0.67</v>
      </c>
      <c r="M120">
        <v>0</v>
      </c>
      <c r="N120">
        <v>0</v>
      </c>
    </row>
    <row r="121" spans="1:14" x14ac:dyDescent="0.25">
      <c r="A121">
        <v>223</v>
      </c>
      <c r="B121" s="1">
        <v>43292</v>
      </c>
      <c r="C121" t="s">
        <v>19</v>
      </c>
      <c r="D121" t="s">
        <v>15</v>
      </c>
      <c r="E121" t="s">
        <v>16</v>
      </c>
      <c r="F121" s="4">
        <v>24135</v>
      </c>
      <c r="G121">
        <v>26.62</v>
      </c>
      <c r="H121">
        <v>84</v>
      </c>
      <c r="I121">
        <v>1.31</v>
      </c>
      <c r="J121">
        <v>1017.63</v>
      </c>
      <c r="K121">
        <v>23.46</v>
      </c>
      <c r="L121">
        <v>0.36</v>
      </c>
      <c r="M121">
        <v>3.5</v>
      </c>
      <c r="N121">
        <v>0</v>
      </c>
    </row>
    <row r="122" spans="1:14" x14ac:dyDescent="0.25">
      <c r="A122">
        <v>338</v>
      </c>
      <c r="B122" s="1">
        <v>43406</v>
      </c>
      <c r="C122" t="s">
        <v>20</v>
      </c>
      <c r="D122" t="s">
        <v>15</v>
      </c>
      <c r="E122" t="s">
        <v>16</v>
      </c>
      <c r="F122" s="4">
        <v>24077</v>
      </c>
      <c r="G122">
        <v>10.5</v>
      </c>
      <c r="H122">
        <v>54.13</v>
      </c>
      <c r="I122">
        <v>1.1299999999999999</v>
      </c>
      <c r="J122">
        <v>1463.46</v>
      </c>
      <c r="K122">
        <v>0.88</v>
      </c>
      <c r="L122">
        <v>0.56000000000000005</v>
      </c>
      <c r="M122">
        <v>0</v>
      </c>
      <c r="N122">
        <v>0</v>
      </c>
    </row>
    <row r="123" spans="1:14" x14ac:dyDescent="0.25">
      <c r="A123">
        <v>326</v>
      </c>
      <c r="B123" s="1">
        <v>43394</v>
      </c>
      <c r="C123" t="s">
        <v>20</v>
      </c>
      <c r="D123" t="s">
        <v>15</v>
      </c>
      <c r="E123" t="s">
        <v>16</v>
      </c>
      <c r="F123" s="4">
        <v>23906</v>
      </c>
      <c r="G123">
        <v>13.37</v>
      </c>
      <c r="H123">
        <v>50.08</v>
      </c>
      <c r="I123">
        <v>1.1100000000000001</v>
      </c>
      <c r="J123">
        <v>1591.75</v>
      </c>
      <c r="K123">
        <v>1.99</v>
      </c>
      <c r="L123">
        <v>0.66</v>
      </c>
      <c r="M123">
        <v>0</v>
      </c>
      <c r="N123">
        <v>0</v>
      </c>
    </row>
    <row r="124" spans="1:14" x14ac:dyDescent="0.25">
      <c r="A124">
        <v>251</v>
      </c>
      <c r="B124" s="1">
        <v>43320</v>
      </c>
      <c r="C124" t="s">
        <v>19</v>
      </c>
      <c r="D124" t="s">
        <v>15</v>
      </c>
      <c r="E124" t="s">
        <v>16</v>
      </c>
      <c r="F124" s="4">
        <v>23880</v>
      </c>
      <c r="G124">
        <v>30.92</v>
      </c>
      <c r="H124">
        <v>65.790000000000006</v>
      </c>
      <c r="I124">
        <v>1.93</v>
      </c>
      <c r="J124">
        <v>1560.21</v>
      </c>
      <c r="K124">
        <v>23.17</v>
      </c>
      <c r="L124">
        <v>0.86</v>
      </c>
      <c r="M124">
        <v>0</v>
      </c>
      <c r="N124">
        <v>0</v>
      </c>
    </row>
    <row r="125" spans="1:14" x14ac:dyDescent="0.25">
      <c r="A125">
        <v>257</v>
      </c>
      <c r="B125" s="1">
        <v>43326</v>
      </c>
      <c r="C125" t="s">
        <v>19</v>
      </c>
      <c r="D125" t="s">
        <v>15</v>
      </c>
      <c r="E125" t="s">
        <v>16</v>
      </c>
      <c r="F125" s="4">
        <v>23836</v>
      </c>
      <c r="G125">
        <v>31.5</v>
      </c>
      <c r="H125">
        <v>58.71</v>
      </c>
      <c r="I125">
        <v>1.39</v>
      </c>
      <c r="J125">
        <v>1952.96</v>
      </c>
      <c r="K125">
        <v>22.02</v>
      </c>
      <c r="L125">
        <v>0.77</v>
      </c>
      <c r="M125">
        <v>0</v>
      </c>
      <c r="N125">
        <v>0</v>
      </c>
    </row>
    <row r="126" spans="1:14" x14ac:dyDescent="0.25">
      <c r="A126">
        <v>253</v>
      </c>
      <c r="B126" s="1">
        <v>43322</v>
      </c>
      <c r="C126" t="s">
        <v>19</v>
      </c>
      <c r="D126" t="s">
        <v>15</v>
      </c>
      <c r="E126" t="s">
        <v>16</v>
      </c>
      <c r="F126" s="4">
        <v>23833</v>
      </c>
      <c r="G126">
        <v>30.58</v>
      </c>
      <c r="H126">
        <v>61.67</v>
      </c>
      <c r="I126">
        <v>1.31</v>
      </c>
      <c r="J126">
        <v>1766.17</v>
      </c>
      <c r="K126">
        <v>21.69</v>
      </c>
      <c r="L126">
        <v>0.91</v>
      </c>
      <c r="M126">
        <v>0</v>
      </c>
      <c r="N126">
        <v>0</v>
      </c>
    </row>
    <row r="127" spans="1:14" x14ac:dyDescent="0.25">
      <c r="A127">
        <v>196</v>
      </c>
      <c r="B127" s="1">
        <v>43265</v>
      </c>
      <c r="C127" t="s">
        <v>19</v>
      </c>
      <c r="D127" t="s">
        <v>15</v>
      </c>
      <c r="E127" t="s">
        <v>16</v>
      </c>
      <c r="F127" s="4">
        <v>23818</v>
      </c>
      <c r="G127">
        <v>21.65</v>
      </c>
      <c r="H127">
        <v>74.38</v>
      </c>
      <c r="I127">
        <v>1.1100000000000001</v>
      </c>
      <c r="J127">
        <v>1117.71</v>
      </c>
      <c r="K127">
        <v>16.62</v>
      </c>
      <c r="L127">
        <v>0.43</v>
      </c>
      <c r="M127">
        <v>29</v>
      </c>
      <c r="N127">
        <v>0</v>
      </c>
    </row>
    <row r="128" spans="1:14" x14ac:dyDescent="0.25">
      <c r="A128">
        <v>250</v>
      </c>
      <c r="B128" s="1">
        <v>43319</v>
      </c>
      <c r="C128" t="s">
        <v>19</v>
      </c>
      <c r="D128" t="s">
        <v>15</v>
      </c>
      <c r="E128" t="s">
        <v>16</v>
      </c>
      <c r="F128" s="4">
        <v>23806</v>
      </c>
      <c r="G128">
        <v>30.52</v>
      </c>
      <c r="H128">
        <v>62.46</v>
      </c>
      <c r="I128">
        <v>1.43</v>
      </c>
      <c r="J128">
        <v>1881.71</v>
      </c>
      <c r="K128">
        <v>22.25</v>
      </c>
      <c r="L128">
        <v>0.65</v>
      </c>
      <c r="M128">
        <v>0</v>
      </c>
      <c r="N128">
        <v>0</v>
      </c>
    </row>
    <row r="129" spans="1:14" x14ac:dyDescent="0.25">
      <c r="A129">
        <v>242</v>
      </c>
      <c r="B129" s="1">
        <v>43311</v>
      </c>
      <c r="C129" t="s">
        <v>19</v>
      </c>
      <c r="D129" t="s">
        <v>15</v>
      </c>
      <c r="E129" t="s">
        <v>16</v>
      </c>
      <c r="F129" s="4">
        <v>23695</v>
      </c>
      <c r="G129">
        <v>31.56</v>
      </c>
      <c r="H129">
        <v>50.33</v>
      </c>
      <c r="I129">
        <v>1.23</v>
      </c>
      <c r="J129">
        <v>1998.33</v>
      </c>
      <c r="K129">
        <v>19.72</v>
      </c>
      <c r="L129">
        <v>0.82</v>
      </c>
      <c r="M129">
        <v>0</v>
      </c>
      <c r="N129">
        <v>0</v>
      </c>
    </row>
    <row r="130" spans="1:14" x14ac:dyDescent="0.25">
      <c r="A130">
        <v>341</v>
      </c>
      <c r="B130" s="1">
        <v>43409</v>
      </c>
      <c r="C130" t="s">
        <v>20</v>
      </c>
      <c r="D130" t="s">
        <v>15</v>
      </c>
      <c r="E130" t="s">
        <v>16</v>
      </c>
      <c r="F130" s="4">
        <v>23472</v>
      </c>
      <c r="G130">
        <v>11.86</v>
      </c>
      <c r="H130">
        <v>66.88</v>
      </c>
      <c r="I130">
        <v>1.06</v>
      </c>
      <c r="J130">
        <v>738</v>
      </c>
      <c r="K130">
        <v>5.32</v>
      </c>
      <c r="L130">
        <v>0.46</v>
      </c>
      <c r="M130">
        <v>0</v>
      </c>
      <c r="N130">
        <v>0</v>
      </c>
    </row>
    <row r="131" spans="1:14" x14ac:dyDescent="0.25">
      <c r="A131">
        <v>299</v>
      </c>
      <c r="B131" s="1">
        <v>43368</v>
      </c>
      <c r="C131" t="s">
        <v>20</v>
      </c>
      <c r="D131" t="s">
        <v>3</v>
      </c>
      <c r="E131" t="s">
        <v>16</v>
      </c>
      <c r="F131" s="4">
        <v>23350</v>
      </c>
      <c r="G131">
        <v>17.489999999999998</v>
      </c>
      <c r="H131">
        <v>48.75</v>
      </c>
      <c r="I131">
        <v>1.1000000000000001</v>
      </c>
      <c r="J131">
        <v>1998.21</v>
      </c>
      <c r="K131">
        <v>5.75</v>
      </c>
      <c r="L131">
        <v>0.84</v>
      </c>
      <c r="M131">
        <v>0</v>
      </c>
      <c r="N131">
        <v>0</v>
      </c>
    </row>
    <row r="132" spans="1:14" x14ac:dyDescent="0.25">
      <c r="A132">
        <v>239</v>
      </c>
      <c r="B132" s="1">
        <v>43308</v>
      </c>
      <c r="C132" t="s">
        <v>19</v>
      </c>
      <c r="D132" t="s">
        <v>15</v>
      </c>
      <c r="E132" t="s">
        <v>16</v>
      </c>
      <c r="F132" s="4">
        <v>23275</v>
      </c>
      <c r="G132">
        <v>30.76</v>
      </c>
      <c r="H132">
        <v>69.459999999999994</v>
      </c>
      <c r="I132">
        <v>1.71</v>
      </c>
      <c r="J132">
        <v>954.08</v>
      </c>
      <c r="K132">
        <v>24.2</v>
      </c>
      <c r="L132">
        <v>0.8</v>
      </c>
      <c r="M132">
        <v>0</v>
      </c>
      <c r="N132">
        <v>0</v>
      </c>
    </row>
    <row r="133" spans="1:14" x14ac:dyDescent="0.25">
      <c r="A133">
        <v>134</v>
      </c>
      <c r="B133" s="1">
        <v>43203</v>
      </c>
      <c r="C133" t="s">
        <v>17</v>
      </c>
      <c r="D133" t="s">
        <v>15</v>
      </c>
      <c r="E133" t="s">
        <v>16</v>
      </c>
      <c r="F133" s="4">
        <v>23240</v>
      </c>
      <c r="G133">
        <v>14.29</v>
      </c>
      <c r="H133">
        <v>22.25</v>
      </c>
      <c r="I133">
        <v>1.4</v>
      </c>
      <c r="J133">
        <v>1997.83</v>
      </c>
      <c r="K133">
        <v>-7.52</v>
      </c>
      <c r="L133">
        <v>0.53</v>
      </c>
      <c r="M133">
        <v>0</v>
      </c>
      <c r="N133">
        <v>0</v>
      </c>
    </row>
    <row r="134" spans="1:14" x14ac:dyDescent="0.25">
      <c r="A134">
        <v>137</v>
      </c>
      <c r="B134" s="1">
        <v>43206</v>
      </c>
      <c r="C134" t="s">
        <v>17</v>
      </c>
      <c r="D134" t="s">
        <v>15</v>
      </c>
      <c r="E134" t="s">
        <v>16</v>
      </c>
      <c r="F134" s="4">
        <v>23198</v>
      </c>
      <c r="G134">
        <v>11.43</v>
      </c>
      <c r="H134">
        <v>43.88</v>
      </c>
      <c r="I134">
        <v>1.6</v>
      </c>
      <c r="J134">
        <v>1836.67</v>
      </c>
      <c r="K134">
        <v>-1.53</v>
      </c>
      <c r="L134">
        <v>1.03</v>
      </c>
      <c r="M134">
        <v>0</v>
      </c>
      <c r="N134">
        <v>0</v>
      </c>
    </row>
    <row r="135" spans="1:14" x14ac:dyDescent="0.25">
      <c r="A135">
        <v>337</v>
      </c>
      <c r="B135" s="1">
        <v>43405</v>
      </c>
      <c r="C135" t="s">
        <v>20</v>
      </c>
      <c r="D135" t="s">
        <v>15</v>
      </c>
      <c r="E135" t="s">
        <v>16</v>
      </c>
      <c r="F135" s="4">
        <v>22964</v>
      </c>
      <c r="G135">
        <v>8.35</v>
      </c>
      <c r="H135">
        <v>54.17</v>
      </c>
      <c r="I135">
        <v>1.27</v>
      </c>
      <c r="J135">
        <v>1790.17</v>
      </c>
      <c r="K135">
        <v>-1.02</v>
      </c>
      <c r="L135">
        <v>0.57999999999999996</v>
      </c>
      <c r="M135">
        <v>0</v>
      </c>
      <c r="N135">
        <v>0</v>
      </c>
    </row>
    <row r="136" spans="1:14" x14ac:dyDescent="0.25">
      <c r="A136">
        <v>243</v>
      </c>
      <c r="B136" s="1">
        <v>43312</v>
      </c>
      <c r="C136" t="s">
        <v>19</v>
      </c>
      <c r="D136" t="s">
        <v>15</v>
      </c>
      <c r="E136" t="s">
        <v>16</v>
      </c>
      <c r="F136" s="4">
        <v>22897</v>
      </c>
      <c r="G136">
        <v>32.53</v>
      </c>
      <c r="H136">
        <v>49.63</v>
      </c>
      <c r="I136">
        <v>1.38</v>
      </c>
      <c r="J136">
        <v>1993.79</v>
      </c>
      <c r="K136">
        <v>20.22</v>
      </c>
      <c r="L136">
        <v>1.02</v>
      </c>
      <c r="M136">
        <v>0</v>
      </c>
      <c r="N136">
        <v>0</v>
      </c>
    </row>
    <row r="137" spans="1:14" x14ac:dyDescent="0.25">
      <c r="A137">
        <v>256</v>
      </c>
      <c r="B137" s="1">
        <v>43325</v>
      </c>
      <c r="C137" t="s">
        <v>19</v>
      </c>
      <c r="D137" t="s">
        <v>15</v>
      </c>
      <c r="E137" t="s">
        <v>16</v>
      </c>
      <c r="F137" s="4">
        <v>22827</v>
      </c>
      <c r="G137">
        <v>30.27</v>
      </c>
      <c r="H137">
        <v>69.38</v>
      </c>
      <c r="I137">
        <v>1.43</v>
      </c>
      <c r="J137">
        <v>1361.92</v>
      </c>
      <c r="K137">
        <v>23.64</v>
      </c>
      <c r="L137">
        <v>0.51</v>
      </c>
      <c r="M137">
        <v>1</v>
      </c>
      <c r="N137">
        <v>0</v>
      </c>
    </row>
    <row r="138" spans="1:14" x14ac:dyDescent="0.25">
      <c r="A138">
        <v>227</v>
      </c>
      <c r="B138" s="1">
        <v>43296</v>
      </c>
      <c r="C138" t="s">
        <v>19</v>
      </c>
      <c r="D138" t="s">
        <v>15</v>
      </c>
      <c r="E138" t="s">
        <v>16</v>
      </c>
      <c r="F138" s="4">
        <v>22790</v>
      </c>
      <c r="G138">
        <v>28.27</v>
      </c>
      <c r="H138">
        <v>69.92</v>
      </c>
      <c r="I138">
        <v>1.63</v>
      </c>
      <c r="J138">
        <v>1604.46</v>
      </c>
      <c r="K138">
        <v>21.87</v>
      </c>
      <c r="L138">
        <v>0.95</v>
      </c>
      <c r="M138">
        <v>0</v>
      </c>
      <c r="N138">
        <v>0</v>
      </c>
    </row>
    <row r="139" spans="1:14" x14ac:dyDescent="0.25">
      <c r="A139">
        <v>133</v>
      </c>
      <c r="B139" s="1">
        <v>43202</v>
      </c>
      <c r="C139" t="s">
        <v>17</v>
      </c>
      <c r="D139" t="s">
        <v>15</v>
      </c>
      <c r="E139" t="s">
        <v>16</v>
      </c>
      <c r="F139" s="4">
        <v>22729</v>
      </c>
      <c r="G139">
        <v>13.03</v>
      </c>
      <c r="H139">
        <v>32.42</v>
      </c>
      <c r="I139">
        <v>2.58</v>
      </c>
      <c r="J139">
        <v>1885.75</v>
      </c>
      <c r="K139">
        <v>-4.6399999999999997</v>
      </c>
      <c r="L139">
        <v>1.02</v>
      </c>
      <c r="M139">
        <v>0</v>
      </c>
      <c r="N139">
        <v>0</v>
      </c>
    </row>
    <row r="140" spans="1:14" x14ac:dyDescent="0.25">
      <c r="A140">
        <v>350</v>
      </c>
      <c r="B140" s="1">
        <v>43418</v>
      </c>
      <c r="C140" t="s">
        <v>20</v>
      </c>
      <c r="D140" t="s">
        <v>15</v>
      </c>
      <c r="E140" t="s">
        <v>16</v>
      </c>
      <c r="F140" s="4">
        <v>22707</v>
      </c>
      <c r="G140">
        <v>9.6999999999999993</v>
      </c>
      <c r="H140">
        <v>55.63</v>
      </c>
      <c r="I140">
        <v>1.1200000000000001</v>
      </c>
      <c r="J140">
        <v>1443.83</v>
      </c>
      <c r="K140">
        <v>0.73</v>
      </c>
      <c r="L140">
        <v>0.48</v>
      </c>
      <c r="M140">
        <v>0</v>
      </c>
      <c r="N140">
        <v>0</v>
      </c>
    </row>
    <row r="141" spans="1:14" x14ac:dyDescent="0.25">
      <c r="A141">
        <v>141</v>
      </c>
      <c r="B141" s="1">
        <v>43210</v>
      </c>
      <c r="C141" t="s">
        <v>17</v>
      </c>
      <c r="D141" t="s">
        <v>15</v>
      </c>
      <c r="E141" t="s">
        <v>16</v>
      </c>
      <c r="F141" s="4">
        <v>22593</v>
      </c>
      <c r="G141">
        <v>18.059999999999999</v>
      </c>
      <c r="H141">
        <v>45.79</v>
      </c>
      <c r="I141">
        <v>1.32</v>
      </c>
      <c r="J141">
        <v>789.71</v>
      </c>
      <c r="K141">
        <v>5.4</v>
      </c>
      <c r="L141">
        <v>0.95</v>
      </c>
      <c r="M141">
        <v>0</v>
      </c>
      <c r="N141">
        <v>0</v>
      </c>
    </row>
    <row r="142" spans="1:14" x14ac:dyDescent="0.25">
      <c r="A142">
        <v>138</v>
      </c>
      <c r="B142" s="1">
        <v>43207</v>
      </c>
      <c r="C142" t="s">
        <v>17</v>
      </c>
      <c r="D142" t="s">
        <v>15</v>
      </c>
      <c r="E142" t="s">
        <v>16</v>
      </c>
      <c r="F142" s="4">
        <v>22234</v>
      </c>
      <c r="G142">
        <v>12.81</v>
      </c>
      <c r="H142">
        <v>36.92</v>
      </c>
      <c r="I142">
        <v>1.81</v>
      </c>
      <c r="J142">
        <v>1622.04</v>
      </c>
      <c r="K142">
        <v>-2.13</v>
      </c>
      <c r="L142">
        <v>1</v>
      </c>
      <c r="M142">
        <v>0</v>
      </c>
      <c r="N142">
        <v>0</v>
      </c>
    </row>
    <row r="143" spans="1:14" x14ac:dyDescent="0.25">
      <c r="A143">
        <v>349</v>
      </c>
      <c r="B143" s="1">
        <v>43417</v>
      </c>
      <c r="C143" t="s">
        <v>20</v>
      </c>
      <c r="D143" t="s">
        <v>15</v>
      </c>
      <c r="E143" t="s">
        <v>16</v>
      </c>
      <c r="F143" s="4">
        <v>21992</v>
      </c>
      <c r="G143">
        <v>8.76</v>
      </c>
      <c r="H143">
        <v>52.96</v>
      </c>
      <c r="I143">
        <v>0.98</v>
      </c>
      <c r="J143">
        <v>1523.21</v>
      </c>
      <c r="K143">
        <v>-0.71</v>
      </c>
      <c r="L143">
        <v>0.49</v>
      </c>
      <c r="M143">
        <v>0</v>
      </c>
      <c r="N143">
        <v>0</v>
      </c>
    </row>
    <row r="144" spans="1:14" x14ac:dyDescent="0.25">
      <c r="A144">
        <v>139</v>
      </c>
      <c r="B144" s="1">
        <v>43208</v>
      </c>
      <c r="C144" t="s">
        <v>17</v>
      </c>
      <c r="D144" t="s">
        <v>15</v>
      </c>
      <c r="E144" t="s">
        <v>16</v>
      </c>
      <c r="F144" s="4">
        <v>21670</v>
      </c>
      <c r="G144">
        <v>12.38</v>
      </c>
      <c r="H144">
        <v>35.42</v>
      </c>
      <c r="I144">
        <v>1.94</v>
      </c>
      <c r="J144">
        <v>1497.79</v>
      </c>
      <c r="K144">
        <v>-3.42</v>
      </c>
      <c r="L144">
        <v>1.05</v>
      </c>
      <c r="M144">
        <v>0</v>
      </c>
      <c r="N144">
        <v>0</v>
      </c>
    </row>
    <row r="145" spans="1:14" x14ac:dyDescent="0.25">
      <c r="A145">
        <v>210</v>
      </c>
      <c r="B145" s="1">
        <v>43279</v>
      </c>
      <c r="C145" t="s">
        <v>19</v>
      </c>
      <c r="D145" t="s">
        <v>15</v>
      </c>
      <c r="E145" t="s">
        <v>16</v>
      </c>
      <c r="F145" s="4">
        <v>21647</v>
      </c>
      <c r="G145">
        <v>23.39</v>
      </c>
      <c r="H145">
        <v>83.46</v>
      </c>
      <c r="I145">
        <v>1.17</v>
      </c>
      <c r="J145">
        <v>973.33</v>
      </c>
      <c r="K145">
        <v>20.23</v>
      </c>
      <c r="L145">
        <v>0.39</v>
      </c>
      <c r="M145">
        <v>26.5</v>
      </c>
      <c r="N145">
        <v>0</v>
      </c>
    </row>
    <row r="146" spans="1:14" x14ac:dyDescent="0.25">
      <c r="A146">
        <v>252</v>
      </c>
      <c r="B146" s="1">
        <v>43321</v>
      </c>
      <c r="C146" t="s">
        <v>19</v>
      </c>
      <c r="D146" t="s">
        <v>15</v>
      </c>
      <c r="E146" t="s">
        <v>16</v>
      </c>
      <c r="F146" s="4">
        <v>21644</v>
      </c>
      <c r="G146">
        <v>28.97</v>
      </c>
      <c r="H146">
        <v>76.17</v>
      </c>
      <c r="I146">
        <v>1.66</v>
      </c>
      <c r="J146">
        <v>1559.71</v>
      </c>
      <c r="K146">
        <v>24.22</v>
      </c>
      <c r="L146">
        <v>0.46</v>
      </c>
      <c r="M146">
        <v>2</v>
      </c>
      <c r="N146">
        <v>0</v>
      </c>
    </row>
    <row r="147" spans="1:14" x14ac:dyDescent="0.25">
      <c r="A147">
        <v>328</v>
      </c>
      <c r="B147" s="1">
        <v>43396</v>
      </c>
      <c r="C147" t="s">
        <v>20</v>
      </c>
      <c r="D147" t="s">
        <v>15</v>
      </c>
      <c r="E147" t="s">
        <v>16</v>
      </c>
      <c r="F147" s="4">
        <v>21601</v>
      </c>
      <c r="G147">
        <v>12.5</v>
      </c>
      <c r="H147">
        <v>71.63</v>
      </c>
      <c r="I147">
        <v>1.26</v>
      </c>
      <c r="J147">
        <v>855.83</v>
      </c>
      <c r="K147">
        <v>7.39</v>
      </c>
      <c r="L147">
        <v>0.32</v>
      </c>
      <c r="M147">
        <v>5</v>
      </c>
      <c r="N147">
        <v>0</v>
      </c>
    </row>
    <row r="148" spans="1:14" x14ac:dyDescent="0.25">
      <c r="A148">
        <v>123</v>
      </c>
      <c r="B148" s="1">
        <v>43192</v>
      </c>
      <c r="C148" t="s">
        <v>17</v>
      </c>
      <c r="D148" t="s">
        <v>15</v>
      </c>
      <c r="E148" t="s">
        <v>16</v>
      </c>
      <c r="F148" s="4">
        <v>21585</v>
      </c>
      <c r="G148">
        <v>18.22</v>
      </c>
      <c r="H148">
        <v>65.540000000000006</v>
      </c>
      <c r="I148">
        <v>2</v>
      </c>
      <c r="J148">
        <v>1099.46</v>
      </c>
      <c r="K148">
        <v>11.21</v>
      </c>
      <c r="L148">
        <v>0.59</v>
      </c>
      <c r="M148">
        <v>0</v>
      </c>
      <c r="N148">
        <v>0</v>
      </c>
    </row>
    <row r="149" spans="1:14" x14ac:dyDescent="0.25">
      <c r="A149">
        <v>336</v>
      </c>
      <c r="B149" s="1">
        <v>43404</v>
      </c>
      <c r="C149" t="s">
        <v>20</v>
      </c>
      <c r="D149" t="s">
        <v>15</v>
      </c>
      <c r="E149" t="s">
        <v>16</v>
      </c>
      <c r="F149" s="4">
        <v>21545</v>
      </c>
      <c r="G149">
        <v>7.53</v>
      </c>
      <c r="H149">
        <v>55</v>
      </c>
      <c r="I149">
        <v>1.67</v>
      </c>
      <c r="J149">
        <v>1960.92</v>
      </c>
      <c r="K149">
        <v>-1.41</v>
      </c>
      <c r="L149">
        <v>0.6</v>
      </c>
      <c r="M149">
        <v>0</v>
      </c>
      <c r="N149">
        <v>0</v>
      </c>
    </row>
    <row r="150" spans="1:14" x14ac:dyDescent="0.25">
      <c r="A150">
        <v>351</v>
      </c>
      <c r="B150" s="1">
        <v>43419</v>
      </c>
      <c r="C150" t="s">
        <v>20</v>
      </c>
      <c r="D150" t="s">
        <v>15</v>
      </c>
      <c r="E150" t="s">
        <v>16</v>
      </c>
      <c r="F150" s="4">
        <v>21502</v>
      </c>
      <c r="G150">
        <v>9.58</v>
      </c>
      <c r="H150">
        <v>55.71</v>
      </c>
      <c r="I150">
        <v>1.02</v>
      </c>
      <c r="J150">
        <v>951.29</v>
      </c>
      <c r="K150">
        <v>0.52</v>
      </c>
      <c r="L150">
        <v>0.4</v>
      </c>
      <c r="M150">
        <v>0</v>
      </c>
      <c r="N150">
        <v>0</v>
      </c>
    </row>
    <row r="151" spans="1:14" x14ac:dyDescent="0.25">
      <c r="A151">
        <v>233</v>
      </c>
      <c r="B151" s="1">
        <v>43302</v>
      </c>
      <c r="C151" t="s">
        <v>19</v>
      </c>
      <c r="D151" t="s">
        <v>15</v>
      </c>
      <c r="E151" t="s">
        <v>16</v>
      </c>
      <c r="F151" s="4">
        <v>21283</v>
      </c>
      <c r="G151">
        <v>30.53</v>
      </c>
      <c r="H151">
        <v>55.25</v>
      </c>
      <c r="I151">
        <v>1.47</v>
      </c>
      <c r="J151">
        <v>1586.33</v>
      </c>
      <c r="K151">
        <v>19.7</v>
      </c>
      <c r="L151">
        <v>1.1100000000000001</v>
      </c>
      <c r="M151">
        <v>0</v>
      </c>
      <c r="N151">
        <v>0</v>
      </c>
    </row>
    <row r="152" spans="1:14" x14ac:dyDescent="0.25">
      <c r="A152">
        <v>154</v>
      </c>
      <c r="B152" s="1">
        <v>43223</v>
      </c>
      <c r="C152" t="s">
        <v>17</v>
      </c>
      <c r="D152" t="s">
        <v>15</v>
      </c>
      <c r="E152" t="s">
        <v>16</v>
      </c>
      <c r="F152" s="4">
        <v>21027</v>
      </c>
      <c r="G152">
        <v>11.02</v>
      </c>
      <c r="H152">
        <v>64.959999999999994</v>
      </c>
      <c r="I152">
        <v>2.78</v>
      </c>
      <c r="J152">
        <v>1786.21</v>
      </c>
      <c r="K152">
        <v>4.17</v>
      </c>
      <c r="L152">
        <v>0.51</v>
      </c>
      <c r="M152">
        <v>1</v>
      </c>
      <c r="N152">
        <v>0</v>
      </c>
    </row>
    <row r="153" spans="1:14" x14ac:dyDescent="0.25">
      <c r="A153">
        <v>124</v>
      </c>
      <c r="B153" s="1">
        <v>43193</v>
      </c>
      <c r="C153" t="s">
        <v>17</v>
      </c>
      <c r="D153" t="s">
        <v>15</v>
      </c>
      <c r="E153" t="s">
        <v>16</v>
      </c>
      <c r="F153" s="4">
        <v>21015</v>
      </c>
      <c r="G153">
        <v>17.96</v>
      </c>
      <c r="H153">
        <v>70.290000000000006</v>
      </c>
      <c r="I153">
        <v>2.11</v>
      </c>
      <c r="J153">
        <v>1157.6300000000001</v>
      </c>
      <c r="K153">
        <v>12.28</v>
      </c>
      <c r="L153">
        <v>0.28999999999999998</v>
      </c>
      <c r="M153">
        <v>0</v>
      </c>
      <c r="N153">
        <v>0</v>
      </c>
    </row>
    <row r="154" spans="1:14" x14ac:dyDescent="0.25">
      <c r="A154">
        <v>348</v>
      </c>
      <c r="B154" s="1">
        <v>43416</v>
      </c>
      <c r="C154" t="s">
        <v>20</v>
      </c>
      <c r="D154" t="s">
        <v>15</v>
      </c>
      <c r="E154" t="s">
        <v>16</v>
      </c>
      <c r="F154" s="4">
        <v>21003</v>
      </c>
      <c r="G154">
        <v>8.0299999999999994</v>
      </c>
      <c r="H154">
        <v>53.38</v>
      </c>
      <c r="I154">
        <v>1.2</v>
      </c>
      <c r="J154">
        <v>1770.38</v>
      </c>
      <c r="K154">
        <v>-1.31</v>
      </c>
      <c r="L154">
        <v>0.51</v>
      </c>
      <c r="M154">
        <v>0</v>
      </c>
      <c r="N154">
        <v>0</v>
      </c>
    </row>
    <row r="155" spans="1:14" x14ac:dyDescent="0.25">
      <c r="A155">
        <v>273</v>
      </c>
      <c r="B155" s="1">
        <v>43342</v>
      </c>
      <c r="C155" t="s">
        <v>19</v>
      </c>
      <c r="D155" t="s">
        <v>15</v>
      </c>
      <c r="E155" t="s">
        <v>16</v>
      </c>
      <c r="F155" s="4">
        <v>20959</v>
      </c>
      <c r="G155">
        <v>25.45</v>
      </c>
      <c r="H155">
        <v>81.709999999999994</v>
      </c>
      <c r="I155">
        <v>1.84</v>
      </c>
      <c r="J155">
        <v>1124.83</v>
      </c>
      <c r="K155">
        <v>21.87</v>
      </c>
      <c r="L155">
        <v>0.36</v>
      </c>
      <c r="M155">
        <v>9.5</v>
      </c>
      <c r="N155">
        <v>0</v>
      </c>
    </row>
    <row r="156" spans="1:14" x14ac:dyDescent="0.25">
      <c r="A156">
        <v>335</v>
      </c>
      <c r="B156" s="1">
        <v>43403</v>
      </c>
      <c r="C156" t="s">
        <v>20</v>
      </c>
      <c r="D156" t="s">
        <v>15</v>
      </c>
      <c r="E156" t="s">
        <v>16</v>
      </c>
      <c r="F156" s="4">
        <v>20822</v>
      </c>
      <c r="G156">
        <v>5.89</v>
      </c>
      <c r="H156">
        <v>49.83</v>
      </c>
      <c r="I156">
        <v>1.53</v>
      </c>
      <c r="J156">
        <v>1980.42</v>
      </c>
      <c r="K156">
        <v>-4.16</v>
      </c>
      <c r="L156">
        <v>0.61</v>
      </c>
      <c r="M156">
        <v>0</v>
      </c>
      <c r="N156">
        <v>0</v>
      </c>
    </row>
    <row r="157" spans="1:14" x14ac:dyDescent="0.25">
      <c r="A157">
        <v>246</v>
      </c>
      <c r="B157" s="1">
        <v>43315</v>
      </c>
      <c r="C157" t="s">
        <v>19</v>
      </c>
      <c r="D157" t="s">
        <v>15</v>
      </c>
      <c r="E157" t="s">
        <v>16</v>
      </c>
      <c r="F157" s="4">
        <v>20794</v>
      </c>
      <c r="G157">
        <v>33.21</v>
      </c>
      <c r="H157">
        <v>56.13</v>
      </c>
      <c r="I157">
        <v>1.79</v>
      </c>
      <c r="J157">
        <v>1509.83</v>
      </c>
      <c r="K157">
        <v>22.93</v>
      </c>
      <c r="L157">
        <v>0.88</v>
      </c>
      <c r="M157">
        <v>0</v>
      </c>
      <c r="N157">
        <v>0</v>
      </c>
    </row>
    <row r="158" spans="1:14" x14ac:dyDescent="0.25">
      <c r="A158">
        <v>244</v>
      </c>
      <c r="B158" s="1">
        <v>43313</v>
      </c>
      <c r="C158" t="s">
        <v>19</v>
      </c>
      <c r="D158" t="s">
        <v>15</v>
      </c>
      <c r="E158" t="s">
        <v>16</v>
      </c>
      <c r="F158" s="4">
        <v>20712</v>
      </c>
      <c r="G158">
        <v>33.43</v>
      </c>
      <c r="H158">
        <v>55.79</v>
      </c>
      <c r="I158">
        <v>1.68</v>
      </c>
      <c r="J158">
        <v>1853.46</v>
      </c>
      <c r="K158">
        <v>22.83</v>
      </c>
      <c r="L158">
        <v>1.07</v>
      </c>
      <c r="M158">
        <v>0</v>
      </c>
      <c r="N158">
        <v>0</v>
      </c>
    </row>
    <row r="159" spans="1:14" x14ac:dyDescent="0.25">
      <c r="A159">
        <v>245</v>
      </c>
      <c r="B159" s="1">
        <v>43314</v>
      </c>
      <c r="C159" t="s">
        <v>19</v>
      </c>
      <c r="D159" t="s">
        <v>15</v>
      </c>
      <c r="E159" t="s">
        <v>16</v>
      </c>
      <c r="F159" s="4">
        <v>20693</v>
      </c>
      <c r="G159">
        <v>33.74</v>
      </c>
      <c r="H159">
        <v>53.42</v>
      </c>
      <c r="I159">
        <v>1.54</v>
      </c>
      <c r="J159">
        <v>1699.38</v>
      </c>
      <c r="K159">
        <v>22.63</v>
      </c>
      <c r="L159">
        <v>0.77</v>
      </c>
      <c r="M159">
        <v>0</v>
      </c>
      <c r="N159">
        <v>0</v>
      </c>
    </row>
    <row r="160" spans="1:14" x14ac:dyDescent="0.25">
      <c r="A160">
        <v>352</v>
      </c>
      <c r="B160" s="1">
        <v>43420</v>
      </c>
      <c r="C160" t="s">
        <v>20</v>
      </c>
      <c r="D160" t="s">
        <v>15</v>
      </c>
      <c r="E160" t="s">
        <v>16</v>
      </c>
      <c r="F160" s="4">
        <v>20660</v>
      </c>
      <c r="G160">
        <v>9.01</v>
      </c>
      <c r="H160">
        <v>63.33</v>
      </c>
      <c r="I160">
        <v>1.68</v>
      </c>
      <c r="J160">
        <v>707.17</v>
      </c>
      <c r="K160">
        <v>2.2000000000000002</v>
      </c>
      <c r="L160">
        <v>0.35</v>
      </c>
      <c r="M160">
        <v>0</v>
      </c>
      <c r="N160">
        <v>0</v>
      </c>
    </row>
    <row r="161" spans="1:14" x14ac:dyDescent="0.25">
      <c r="A161">
        <v>222</v>
      </c>
      <c r="B161" s="1">
        <v>43291</v>
      </c>
      <c r="C161" t="s">
        <v>19</v>
      </c>
      <c r="D161" t="s">
        <v>15</v>
      </c>
      <c r="E161" t="s">
        <v>16</v>
      </c>
      <c r="F161" s="4">
        <v>20641</v>
      </c>
      <c r="G161">
        <v>23.34</v>
      </c>
      <c r="H161">
        <v>87.17</v>
      </c>
      <c r="I161">
        <v>0.66</v>
      </c>
      <c r="J161">
        <v>1466.04</v>
      </c>
      <c r="K161">
        <v>20.95</v>
      </c>
      <c r="L161">
        <v>0.25</v>
      </c>
      <c r="M161">
        <v>21.5</v>
      </c>
      <c r="N161">
        <v>0</v>
      </c>
    </row>
    <row r="162" spans="1:14" x14ac:dyDescent="0.25">
      <c r="A162">
        <v>212</v>
      </c>
      <c r="B162" s="1">
        <v>43281</v>
      </c>
      <c r="C162" t="s">
        <v>19</v>
      </c>
      <c r="D162" t="s">
        <v>15</v>
      </c>
      <c r="E162" t="s">
        <v>16</v>
      </c>
      <c r="F162" s="4">
        <v>20479</v>
      </c>
      <c r="G162">
        <v>24.35</v>
      </c>
      <c r="H162">
        <v>83.08</v>
      </c>
      <c r="I162">
        <v>0.91</v>
      </c>
      <c r="J162">
        <v>603.5</v>
      </c>
      <c r="K162">
        <v>21.16</v>
      </c>
      <c r="L162">
        <v>0.37</v>
      </c>
      <c r="M162">
        <v>14.5</v>
      </c>
      <c r="N162">
        <v>0</v>
      </c>
    </row>
    <row r="163" spans="1:14" x14ac:dyDescent="0.25">
      <c r="A163">
        <v>340</v>
      </c>
      <c r="B163" s="1">
        <v>43408</v>
      </c>
      <c r="C163" t="s">
        <v>20</v>
      </c>
      <c r="D163" t="s">
        <v>15</v>
      </c>
      <c r="E163" t="s">
        <v>16</v>
      </c>
      <c r="F163" s="4">
        <v>20471</v>
      </c>
      <c r="G163">
        <v>11.67</v>
      </c>
      <c r="H163">
        <v>54.75</v>
      </c>
      <c r="I163">
        <v>1.38</v>
      </c>
      <c r="J163">
        <v>1240.21</v>
      </c>
      <c r="K163">
        <v>1.87</v>
      </c>
      <c r="L163">
        <v>0.56000000000000005</v>
      </c>
      <c r="M163">
        <v>0</v>
      </c>
      <c r="N163">
        <v>0</v>
      </c>
    </row>
    <row r="164" spans="1:14" x14ac:dyDescent="0.25">
      <c r="A164">
        <v>145</v>
      </c>
      <c r="B164" s="1">
        <v>43214</v>
      </c>
      <c r="C164" t="s">
        <v>17</v>
      </c>
      <c r="D164" t="s">
        <v>15</v>
      </c>
      <c r="E164" t="s">
        <v>16</v>
      </c>
      <c r="F164" s="4">
        <v>20144</v>
      </c>
      <c r="G164">
        <v>12.2</v>
      </c>
      <c r="H164">
        <v>65.209999999999994</v>
      </c>
      <c r="I164">
        <v>1.41</v>
      </c>
      <c r="J164">
        <v>1938.46</v>
      </c>
      <c r="K164">
        <v>5.24</v>
      </c>
      <c r="L164">
        <v>0.42</v>
      </c>
      <c r="M164">
        <v>3</v>
      </c>
      <c r="N164">
        <v>0</v>
      </c>
    </row>
    <row r="165" spans="1:14" x14ac:dyDescent="0.25">
      <c r="A165">
        <v>297</v>
      </c>
      <c r="B165" s="1">
        <v>43366</v>
      </c>
      <c r="C165" t="s">
        <v>20</v>
      </c>
      <c r="D165" t="s">
        <v>3</v>
      </c>
      <c r="E165" t="s">
        <v>16</v>
      </c>
      <c r="F165" s="4">
        <v>20060</v>
      </c>
      <c r="G165">
        <v>19.41</v>
      </c>
      <c r="H165">
        <v>54.83</v>
      </c>
      <c r="I165">
        <v>1.6</v>
      </c>
      <c r="J165">
        <v>1988.25</v>
      </c>
      <c r="K165">
        <v>9.48</v>
      </c>
      <c r="L165">
        <v>0.62</v>
      </c>
      <c r="M165">
        <v>0</v>
      </c>
      <c r="N165">
        <v>0</v>
      </c>
    </row>
    <row r="166" spans="1:14" x14ac:dyDescent="0.25">
      <c r="A166">
        <v>254</v>
      </c>
      <c r="B166" s="1">
        <v>43323</v>
      </c>
      <c r="C166" t="s">
        <v>19</v>
      </c>
      <c r="D166" t="s">
        <v>15</v>
      </c>
      <c r="E166" t="s">
        <v>16</v>
      </c>
      <c r="F166" s="4">
        <v>20009</v>
      </c>
      <c r="G166">
        <v>31.08</v>
      </c>
      <c r="H166">
        <v>55.08</v>
      </c>
      <c r="I166">
        <v>1.61</v>
      </c>
      <c r="J166">
        <v>1986.88</v>
      </c>
      <c r="K166">
        <v>20.58</v>
      </c>
      <c r="L166">
        <v>0.89</v>
      </c>
      <c r="M166">
        <v>0</v>
      </c>
      <c r="N166">
        <v>0</v>
      </c>
    </row>
    <row r="167" spans="1:14" x14ac:dyDescent="0.25">
      <c r="A167">
        <v>125</v>
      </c>
      <c r="B167" s="1">
        <v>43194</v>
      </c>
      <c r="C167" t="s">
        <v>17</v>
      </c>
      <c r="D167" t="s">
        <v>15</v>
      </c>
      <c r="E167" t="s">
        <v>16</v>
      </c>
      <c r="F167" s="4">
        <v>19995</v>
      </c>
      <c r="G167">
        <v>13.74</v>
      </c>
      <c r="H167">
        <v>70.08</v>
      </c>
      <c r="I167">
        <v>1.83</v>
      </c>
      <c r="J167">
        <v>1555.75</v>
      </c>
      <c r="K167">
        <v>7.65</v>
      </c>
      <c r="L167">
        <v>0.82</v>
      </c>
      <c r="M167">
        <v>18.600000000000001</v>
      </c>
      <c r="N167">
        <v>0</v>
      </c>
    </row>
    <row r="168" spans="1:14" x14ac:dyDescent="0.25">
      <c r="A168">
        <v>334</v>
      </c>
      <c r="B168" s="1">
        <v>43402</v>
      </c>
      <c r="C168" t="s">
        <v>20</v>
      </c>
      <c r="D168" t="s">
        <v>15</v>
      </c>
      <c r="E168" t="s">
        <v>16</v>
      </c>
      <c r="F168" s="4">
        <v>19877</v>
      </c>
      <c r="G168">
        <v>7.4</v>
      </c>
      <c r="H168">
        <v>59.25</v>
      </c>
      <c r="I168">
        <v>2.12</v>
      </c>
      <c r="J168">
        <v>1989.08</v>
      </c>
      <c r="K168">
        <v>-0.4</v>
      </c>
      <c r="L168">
        <v>0.41</v>
      </c>
      <c r="M168">
        <v>0</v>
      </c>
      <c r="N168">
        <v>0</v>
      </c>
    </row>
    <row r="169" spans="1:14" x14ac:dyDescent="0.25">
      <c r="A169">
        <v>269</v>
      </c>
      <c r="B169" s="1">
        <v>43338</v>
      </c>
      <c r="C169" t="s">
        <v>19</v>
      </c>
      <c r="D169" t="s">
        <v>15</v>
      </c>
      <c r="E169" t="s">
        <v>16</v>
      </c>
      <c r="F169" s="4">
        <v>19310</v>
      </c>
      <c r="G169">
        <v>23.31</v>
      </c>
      <c r="H169">
        <v>70.17</v>
      </c>
      <c r="I169">
        <v>1.3</v>
      </c>
      <c r="J169">
        <v>1769.88</v>
      </c>
      <c r="K169">
        <v>17.170000000000002</v>
      </c>
      <c r="L169">
        <v>0.56000000000000005</v>
      </c>
      <c r="M169">
        <v>2</v>
      </c>
      <c r="N169">
        <v>0</v>
      </c>
    </row>
    <row r="170" spans="1:14" x14ac:dyDescent="0.25">
      <c r="A170">
        <v>120</v>
      </c>
      <c r="B170" s="1">
        <v>43189</v>
      </c>
      <c r="C170" t="s">
        <v>17</v>
      </c>
      <c r="D170" t="s">
        <v>15</v>
      </c>
      <c r="E170" t="s">
        <v>16</v>
      </c>
      <c r="F170" s="4">
        <v>19301</v>
      </c>
      <c r="G170">
        <v>14.67</v>
      </c>
      <c r="H170">
        <v>55.04</v>
      </c>
      <c r="I170">
        <v>1.78</v>
      </c>
      <c r="J170">
        <v>906.42</v>
      </c>
      <c r="K170">
        <v>4.6100000000000003</v>
      </c>
      <c r="L170">
        <v>0.83</v>
      </c>
      <c r="M170">
        <v>0</v>
      </c>
      <c r="N170">
        <v>0</v>
      </c>
    </row>
    <row r="171" spans="1:14" x14ac:dyDescent="0.25">
      <c r="A171">
        <v>121</v>
      </c>
      <c r="B171" s="1">
        <v>43190</v>
      </c>
      <c r="C171" t="s">
        <v>17</v>
      </c>
      <c r="D171" t="s">
        <v>15</v>
      </c>
      <c r="E171" t="s">
        <v>16</v>
      </c>
      <c r="F171" s="4">
        <v>19247</v>
      </c>
      <c r="G171">
        <v>13.94</v>
      </c>
      <c r="H171">
        <v>54.04</v>
      </c>
      <c r="I171">
        <v>1.9</v>
      </c>
      <c r="J171">
        <v>1230.75</v>
      </c>
      <c r="K171">
        <v>3.94</v>
      </c>
      <c r="L171">
        <v>0.71</v>
      </c>
      <c r="M171">
        <v>0</v>
      </c>
      <c r="N171">
        <v>0</v>
      </c>
    </row>
    <row r="172" spans="1:14" x14ac:dyDescent="0.25">
      <c r="A172">
        <v>104</v>
      </c>
      <c r="B172" s="1">
        <v>43173</v>
      </c>
      <c r="C172" t="s">
        <v>17</v>
      </c>
      <c r="D172" t="s">
        <v>15</v>
      </c>
      <c r="E172" t="s">
        <v>16</v>
      </c>
      <c r="F172" s="4">
        <v>19180</v>
      </c>
      <c r="G172">
        <v>16.78</v>
      </c>
      <c r="H172">
        <v>60.04</v>
      </c>
      <c r="I172">
        <v>2.2599999999999998</v>
      </c>
      <c r="J172">
        <v>1774.96</v>
      </c>
      <c r="K172">
        <v>8.59</v>
      </c>
      <c r="L172">
        <v>0.64</v>
      </c>
      <c r="M172">
        <v>0</v>
      </c>
      <c r="N172">
        <v>0</v>
      </c>
    </row>
    <row r="173" spans="1:14" x14ac:dyDescent="0.25">
      <c r="A173">
        <v>249</v>
      </c>
      <c r="B173" s="1">
        <v>43318</v>
      </c>
      <c r="C173" t="s">
        <v>19</v>
      </c>
      <c r="D173" t="s">
        <v>15</v>
      </c>
      <c r="E173" t="s">
        <v>16</v>
      </c>
      <c r="F173" s="4">
        <v>19171</v>
      </c>
      <c r="G173">
        <v>30.73</v>
      </c>
      <c r="H173">
        <v>71.709999999999994</v>
      </c>
      <c r="I173">
        <v>1.6</v>
      </c>
      <c r="J173">
        <v>1292.25</v>
      </c>
      <c r="K173">
        <v>24.75</v>
      </c>
      <c r="L173">
        <v>0.74</v>
      </c>
      <c r="M173">
        <v>6.5</v>
      </c>
      <c r="N173">
        <v>0</v>
      </c>
    </row>
    <row r="174" spans="1:14" x14ac:dyDescent="0.25">
      <c r="A174">
        <v>356</v>
      </c>
      <c r="B174" s="1">
        <v>43424</v>
      </c>
      <c r="C174" t="s">
        <v>20</v>
      </c>
      <c r="D174" t="s">
        <v>15</v>
      </c>
      <c r="E174" t="s">
        <v>16</v>
      </c>
      <c r="F174" s="4">
        <v>19127</v>
      </c>
      <c r="G174">
        <v>6.23</v>
      </c>
      <c r="H174">
        <v>36.46</v>
      </c>
      <c r="I174">
        <v>1.86</v>
      </c>
      <c r="J174">
        <v>1862.21</v>
      </c>
      <c r="K174">
        <v>-8.3000000000000007</v>
      </c>
      <c r="L174">
        <v>0.46</v>
      </c>
      <c r="M174">
        <v>0</v>
      </c>
      <c r="N174">
        <v>0</v>
      </c>
    </row>
    <row r="175" spans="1:14" x14ac:dyDescent="0.25">
      <c r="A175">
        <v>130</v>
      </c>
      <c r="B175" s="1">
        <v>43199</v>
      </c>
      <c r="C175" t="s">
        <v>17</v>
      </c>
      <c r="D175" t="s">
        <v>15</v>
      </c>
      <c r="E175" t="s">
        <v>16</v>
      </c>
      <c r="F175" s="4">
        <v>19082</v>
      </c>
      <c r="G175">
        <v>7.48</v>
      </c>
      <c r="H175">
        <v>60.29</v>
      </c>
      <c r="I175">
        <v>1.05</v>
      </c>
      <c r="J175">
        <v>926</v>
      </c>
      <c r="K175">
        <v>-1.72</v>
      </c>
      <c r="L175">
        <v>0.9</v>
      </c>
      <c r="M175">
        <v>0</v>
      </c>
      <c r="N175">
        <v>0</v>
      </c>
    </row>
    <row r="176" spans="1:14" x14ac:dyDescent="0.25">
      <c r="A176">
        <v>355</v>
      </c>
      <c r="B176" s="1">
        <v>43423</v>
      </c>
      <c r="C176" t="s">
        <v>20</v>
      </c>
      <c r="D176" t="s">
        <v>15</v>
      </c>
      <c r="E176" t="s">
        <v>16</v>
      </c>
      <c r="F176" s="4">
        <v>18956</v>
      </c>
      <c r="G176">
        <v>6.7</v>
      </c>
      <c r="H176">
        <v>53.29</v>
      </c>
      <c r="I176">
        <v>1.38</v>
      </c>
      <c r="J176">
        <v>1087.04</v>
      </c>
      <c r="K176">
        <v>-2.4500000000000002</v>
      </c>
      <c r="L176">
        <v>0.33</v>
      </c>
      <c r="M176">
        <v>0</v>
      </c>
      <c r="N176">
        <v>0</v>
      </c>
    </row>
    <row r="177" spans="1:14" x14ac:dyDescent="0.25">
      <c r="A177">
        <v>258</v>
      </c>
      <c r="B177" s="1">
        <v>43327</v>
      </c>
      <c r="C177" t="s">
        <v>19</v>
      </c>
      <c r="D177" t="s">
        <v>3</v>
      </c>
      <c r="E177" t="s">
        <v>16</v>
      </c>
      <c r="F177" s="4">
        <v>18565</v>
      </c>
      <c r="G177">
        <v>31.55</v>
      </c>
      <c r="H177">
        <v>59.75</v>
      </c>
      <c r="I177">
        <v>1.1200000000000001</v>
      </c>
      <c r="J177">
        <v>1909.29</v>
      </c>
      <c r="K177">
        <v>22.23</v>
      </c>
      <c r="L177">
        <v>0.77</v>
      </c>
      <c r="M177">
        <v>1</v>
      </c>
      <c r="N177">
        <v>0</v>
      </c>
    </row>
    <row r="178" spans="1:14" x14ac:dyDescent="0.25">
      <c r="A178">
        <v>234</v>
      </c>
      <c r="B178" s="1">
        <v>43303</v>
      </c>
      <c r="C178" t="s">
        <v>19</v>
      </c>
      <c r="D178" t="s">
        <v>15</v>
      </c>
      <c r="E178" t="s">
        <v>16</v>
      </c>
      <c r="F178" s="4">
        <v>18563</v>
      </c>
      <c r="G178">
        <v>31.55</v>
      </c>
      <c r="H178">
        <v>50.92</v>
      </c>
      <c r="I178">
        <v>1.4</v>
      </c>
      <c r="J178">
        <v>1874.29</v>
      </c>
      <c r="K178">
        <v>19.46</v>
      </c>
      <c r="L178">
        <v>1.06</v>
      </c>
      <c r="M178">
        <v>0</v>
      </c>
      <c r="N178">
        <v>0</v>
      </c>
    </row>
    <row r="179" spans="1:14" x14ac:dyDescent="0.25">
      <c r="A179">
        <v>346</v>
      </c>
      <c r="B179" s="1">
        <v>43414</v>
      </c>
      <c r="C179" t="s">
        <v>20</v>
      </c>
      <c r="D179" t="s">
        <v>15</v>
      </c>
      <c r="E179" t="s">
        <v>16</v>
      </c>
      <c r="F179" s="4">
        <v>18473</v>
      </c>
      <c r="G179">
        <v>12.11</v>
      </c>
      <c r="H179">
        <v>69.209999999999994</v>
      </c>
      <c r="I179">
        <v>1.3</v>
      </c>
      <c r="J179">
        <v>453.75</v>
      </c>
      <c r="K179">
        <v>6.04</v>
      </c>
      <c r="L179">
        <v>0.46</v>
      </c>
      <c r="M179">
        <v>0</v>
      </c>
      <c r="N179">
        <v>0</v>
      </c>
    </row>
    <row r="180" spans="1:14" x14ac:dyDescent="0.25">
      <c r="A180">
        <v>332</v>
      </c>
      <c r="B180" s="1">
        <v>43400</v>
      </c>
      <c r="C180" t="s">
        <v>20</v>
      </c>
      <c r="D180" t="s">
        <v>15</v>
      </c>
      <c r="E180" t="s">
        <v>16</v>
      </c>
      <c r="F180" s="4">
        <v>18398</v>
      </c>
      <c r="G180">
        <v>8.91</v>
      </c>
      <c r="H180">
        <v>50.04</v>
      </c>
      <c r="I180">
        <v>3.37</v>
      </c>
      <c r="J180">
        <v>1985.96</v>
      </c>
      <c r="K180">
        <v>-1.28</v>
      </c>
      <c r="L180">
        <v>0.48</v>
      </c>
      <c r="M180">
        <v>0</v>
      </c>
      <c r="N180">
        <v>0</v>
      </c>
    </row>
    <row r="181" spans="1:14" x14ac:dyDescent="0.25">
      <c r="A181">
        <v>247</v>
      </c>
      <c r="B181" s="1">
        <v>43316</v>
      </c>
      <c r="C181" t="s">
        <v>19</v>
      </c>
      <c r="D181" t="s">
        <v>15</v>
      </c>
      <c r="E181" t="s">
        <v>16</v>
      </c>
      <c r="F181" s="4">
        <v>18363</v>
      </c>
      <c r="G181">
        <v>31.2</v>
      </c>
      <c r="H181">
        <v>59.04</v>
      </c>
      <c r="I181">
        <v>2.4500000000000002</v>
      </c>
      <c r="J181">
        <v>1803.46</v>
      </c>
      <c r="K181">
        <v>22.05</v>
      </c>
      <c r="L181">
        <v>0.85</v>
      </c>
      <c r="M181">
        <v>0</v>
      </c>
      <c r="N181">
        <v>0</v>
      </c>
    </row>
    <row r="182" spans="1:14" x14ac:dyDescent="0.25">
      <c r="A182">
        <v>295</v>
      </c>
      <c r="B182" s="1">
        <v>43364</v>
      </c>
      <c r="C182" t="s">
        <v>20</v>
      </c>
      <c r="D182" t="s">
        <v>15</v>
      </c>
      <c r="E182" t="s">
        <v>16</v>
      </c>
      <c r="F182" s="4">
        <v>18266</v>
      </c>
      <c r="G182">
        <v>19.37</v>
      </c>
      <c r="H182">
        <v>85.54</v>
      </c>
      <c r="I182">
        <v>1.33</v>
      </c>
      <c r="J182">
        <v>1691.88</v>
      </c>
      <c r="K182">
        <v>16.75</v>
      </c>
      <c r="L182">
        <v>0.26</v>
      </c>
      <c r="M182">
        <v>18</v>
      </c>
      <c r="N182">
        <v>0</v>
      </c>
    </row>
    <row r="183" spans="1:14" x14ac:dyDescent="0.25">
      <c r="A183">
        <v>241</v>
      </c>
      <c r="B183" s="1">
        <v>43310</v>
      </c>
      <c r="C183" t="s">
        <v>19</v>
      </c>
      <c r="D183" t="s">
        <v>15</v>
      </c>
      <c r="E183" t="s">
        <v>16</v>
      </c>
      <c r="F183" s="4">
        <v>18190</v>
      </c>
      <c r="G183">
        <v>31.23</v>
      </c>
      <c r="H183">
        <v>53.67</v>
      </c>
      <c r="I183">
        <v>1.25</v>
      </c>
      <c r="J183">
        <v>1934.38</v>
      </c>
      <c r="K183">
        <v>20.02</v>
      </c>
      <c r="L183">
        <v>0.93</v>
      </c>
      <c r="M183">
        <v>0</v>
      </c>
      <c r="N183">
        <v>0</v>
      </c>
    </row>
    <row r="184" spans="1:14" x14ac:dyDescent="0.25">
      <c r="A184">
        <v>140</v>
      </c>
      <c r="B184" s="1">
        <v>43209</v>
      </c>
      <c r="C184" t="s">
        <v>17</v>
      </c>
      <c r="D184" t="s">
        <v>15</v>
      </c>
      <c r="E184" t="s">
        <v>16</v>
      </c>
      <c r="F184" s="4">
        <v>17730</v>
      </c>
      <c r="G184">
        <v>13.79</v>
      </c>
      <c r="H184">
        <v>37.54</v>
      </c>
      <c r="I184">
        <v>1.93</v>
      </c>
      <c r="J184">
        <v>1163.29</v>
      </c>
      <c r="K184">
        <v>-1.43</v>
      </c>
      <c r="L184">
        <v>0.93</v>
      </c>
      <c r="M184">
        <v>0</v>
      </c>
      <c r="N184">
        <v>0</v>
      </c>
    </row>
    <row r="185" spans="1:14" x14ac:dyDescent="0.25">
      <c r="A185">
        <v>255</v>
      </c>
      <c r="B185" s="1">
        <v>43324</v>
      </c>
      <c r="C185" t="s">
        <v>19</v>
      </c>
      <c r="D185" t="s">
        <v>15</v>
      </c>
      <c r="E185" t="s">
        <v>16</v>
      </c>
      <c r="F185" s="4">
        <v>17498</v>
      </c>
      <c r="G185">
        <v>30.69</v>
      </c>
      <c r="H185">
        <v>59.63</v>
      </c>
      <c r="I185">
        <v>1.5</v>
      </c>
      <c r="J185">
        <v>1846.71</v>
      </c>
      <c r="K185">
        <v>21.52</v>
      </c>
      <c r="L185">
        <v>0.76</v>
      </c>
      <c r="M185">
        <v>5</v>
      </c>
      <c r="N185">
        <v>0</v>
      </c>
    </row>
    <row r="186" spans="1:14" x14ac:dyDescent="0.25">
      <c r="A186">
        <v>119</v>
      </c>
      <c r="B186" s="1">
        <v>43188</v>
      </c>
      <c r="C186" t="s">
        <v>17</v>
      </c>
      <c r="D186" t="s">
        <v>15</v>
      </c>
      <c r="E186" t="s">
        <v>16</v>
      </c>
      <c r="F186" s="4">
        <v>17450</v>
      </c>
      <c r="G186">
        <v>15.55</v>
      </c>
      <c r="H186">
        <v>66.790000000000006</v>
      </c>
      <c r="I186">
        <v>1.7</v>
      </c>
      <c r="J186">
        <v>539.41999999999996</v>
      </c>
      <c r="K186">
        <v>8.9</v>
      </c>
      <c r="L186">
        <v>0.62</v>
      </c>
      <c r="M186">
        <v>0</v>
      </c>
      <c r="N186">
        <v>0</v>
      </c>
    </row>
    <row r="187" spans="1:14" x14ac:dyDescent="0.25">
      <c r="A187">
        <v>248</v>
      </c>
      <c r="B187" s="1">
        <v>43317</v>
      </c>
      <c r="C187" t="s">
        <v>19</v>
      </c>
      <c r="D187" t="s">
        <v>15</v>
      </c>
      <c r="E187" t="s">
        <v>16</v>
      </c>
      <c r="F187" s="4">
        <v>17415</v>
      </c>
      <c r="G187">
        <v>29.83</v>
      </c>
      <c r="H187">
        <v>73.209999999999994</v>
      </c>
      <c r="I187">
        <v>2.65</v>
      </c>
      <c r="J187">
        <v>1408.54</v>
      </c>
      <c r="K187">
        <v>24.22</v>
      </c>
      <c r="L187">
        <v>0.86</v>
      </c>
      <c r="M187">
        <v>2</v>
      </c>
      <c r="N187">
        <v>0</v>
      </c>
    </row>
    <row r="188" spans="1:14" x14ac:dyDescent="0.25">
      <c r="A188">
        <v>122</v>
      </c>
      <c r="B188" s="1">
        <v>43191</v>
      </c>
      <c r="C188" t="s">
        <v>17</v>
      </c>
      <c r="D188" t="s">
        <v>15</v>
      </c>
      <c r="E188" t="s">
        <v>16</v>
      </c>
      <c r="F188" s="4">
        <v>17388</v>
      </c>
      <c r="G188">
        <v>15.18</v>
      </c>
      <c r="H188">
        <v>68.92</v>
      </c>
      <c r="I188">
        <v>1.57</v>
      </c>
      <c r="J188">
        <v>831.83</v>
      </c>
      <c r="K188">
        <v>9.3699999999999992</v>
      </c>
      <c r="L188">
        <v>0.3</v>
      </c>
      <c r="M188">
        <v>0</v>
      </c>
      <c r="N188">
        <v>0</v>
      </c>
    </row>
    <row r="189" spans="1:14" x14ac:dyDescent="0.25">
      <c r="A189">
        <v>118</v>
      </c>
      <c r="B189" s="1">
        <v>43187</v>
      </c>
      <c r="C189" t="s">
        <v>17</v>
      </c>
      <c r="D189" t="s">
        <v>15</v>
      </c>
      <c r="E189" t="s">
        <v>16</v>
      </c>
      <c r="F189" s="4">
        <v>17295</v>
      </c>
      <c r="G189">
        <v>13.97</v>
      </c>
      <c r="H189">
        <v>65.709999999999994</v>
      </c>
      <c r="I189">
        <v>2.19</v>
      </c>
      <c r="J189">
        <v>871.17</v>
      </c>
      <c r="K189">
        <v>7.26</v>
      </c>
      <c r="L189">
        <v>0.57999999999999996</v>
      </c>
      <c r="M189">
        <v>0</v>
      </c>
      <c r="N189">
        <v>0</v>
      </c>
    </row>
    <row r="190" spans="1:14" x14ac:dyDescent="0.25">
      <c r="A190">
        <v>298</v>
      </c>
      <c r="B190" s="1">
        <v>43367</v>
      </c>
      <c r="C190" t="s">
        <v>20</v>
      </c>
      <c r="D190" t="s">
        <v>3</v>
      </c>
      <c r="E190" t="s">
        <v>16</v>
      </c>
      <c r="F190" s="4">
        <v>17259</v>
      </c>
      <c r="G190">
        <v>17.82</v>
      </c>
      <c r="H190">
        <v>47.46</v>
      </c>
      <c r="I190">
        <v>2.15</v>
      </c>
      <c r="J190">
        <v>1997.67</v>
      </c>
      <c r="K190">
        <v>5.85</v>
      </c>
      <c r="L190">
        <v>0.87</v>
      </c>
      <c r="M190">
        <v>0</v>
      </c>
      <c r="N190">
        <v>0</v>
      </c>
    </row>
    <row r="191" spans="1:14" x14ac:dyDescent="0.25">
      <c r="A191">
        <v>362</v>
      </c>
      <c r="B191" s="1">
        <v>43430</v>
      </c>
      <c r="C191" t="s">
        <v>20</v>
      </c>
      <c r="D191" t="s">
        <v>15</v>
      </c>
      <c r="E191" t="s">
        <v>16</v>
      </c>
      <c r="F191" s="4">
        <v>17162</v>
      </c>
      <c r="G191">
        <v>6.32</v>
      </c>
      <c r="H191">
        <v>70.5</v>
      </c>
      <c r="I191">
        <v>1.03</v>
      </c>
      <c r="J191">
        <v>475</v>
      </c>
      <c r="K191">
        <v>0.85</v>
      </c>
      <c r="L191">
        <v>0.42</v>
      </c>
      <c r="M191">
        <v>0</v>
      </c>
      <c r="N191">
        <v>2.9</v>
      </c>
    </row>
    <row r="192" spans="1:14" x14ac:dyDescent="0.25">
      <c r="A192">
        <v>240</v>
      </c>
      <c r="B192" s="1">
        <v>43309</v>
      </c>
      <c r="C192" t="s">
        <v>19</v>
      </c>
      <c r="D192" t="s">
        <v>15</v>
      </c>
      <c r="E192" t="s">
        <v>16</v>
      </c>
      <c r="F192" s="4">
        <v>16880</v>
      </c>
      <c r="G192">
        <v>29.82</v>
      </c>
      <c r="H192">
        <v>76.290000000000006</v>
      </c>
      <c r="I192">
        <v>1.24</v>
      </c>
      <c r="J192">
        <v>1015.92</v>
      </c>
      <c r="K192">
        <v>25.04</v>
      </c>
      <c r="L192">
        <v>0.4</v>
      </c>
      <c r="M192">
        <v>7.5</v>
      </c>
      <c r="N192">
        <v>0</v>
      </c>
    </row>
    <row r="193" spans="1:14" x14ac:dyDescent="0.25">
      <c r="A193">
        <v>131</v>
      </c>
      <c r="B193" s="1">
        <v>43200</v>
      </c>
      <c r="C193" t="s">
        <v>17</v>
      </c>
      <c r="D193" t="s">
        <v>15</v>
      </c>
      <c r="E193" t="s">
        <v>16</v>
      </c>
      <c r="F193" s="4">
        <v>16696</v>
      </c>
      <c r="G193">
        <v>14.65</v>
      </c>
      <c r="H193">
        <v>46.96</v>
      </c>
      <c r="I193">
        <v>3.43</v>
      </c>
      <c r="J193">
        <v>1625.42</v>
      </c>
      <c r="K193">
        <v>2.85</v>
      </c>
      <c r="L193">
        <v>0.73</v>
      </c>
      <c r="M193">
        <v>5</v>
      </c>
      <c r="N193">
        <v>0</v>
      </c>
    </row>
    <row r="194" spans="1:14" x14ac:dyDescent="0.25">
      <c r="A194">
        <v>343</v>
      </c>
      <c r="B194" s="1">
        <v>43411</v>
      </c>
      <c r="C194" t="s">
        <v>20</v>
      </c>
      <c r="D194" t="s">
        <v>15</v>
      </c>
      <c r="E194" t="s">
        <v>16</v>
      </c>
      <c r="F194" s="4">
        <v>16525</v>
      </c>
      <c r="G194">
        <v>12.78</v>
      </c>
      <c r="H194">
        <v>80.17</v>
      </c>
      <c r="I194">
        <v>1.1299999999999999</v>
      </c>
      <c r="J194">
        <v>598.75</v>
      </c>
      <c r="K194">
        <v>9.31</v>
      </c>
      <c r="L194">
        <v>0.17</v>
      </c>
      <c r="M194">
        <v>2</v>
      </c>
      <c r="N194">
        <v>0</v>
      </c>
    </row>
    <row r="195" spans="1:14" x14ac:dyDescent="0.25">
      <c r="A195">
        <v>364</v>
      </c>
      <c r="B195" s="1">
        <v>43432</v>
      </c>
      <c r="C195" t="s">
        <v>20</v>
      </c>
      <c r="D195" t="s">
        <v>15</v>
      </c>
      <c r="E195" t="s">
        <v>16</v>
      </c>
      <c r="F195" s="4">
        <v>16524</v>
      </c>
      <c r="G195">
        <v>5.3</v>
      </c>
      <c r="H195">
        <v>25.79</v>
      </c>
      <c r="I195">
        <v>1.7</v>
      </c>
      <c r="J195">
        <v>1429.08</v>
      </c>
      <c r="K195">
        <v>-13.35</v>
      </c>
      <c r="L195">
        <v>0.4</v>
      </c>
      <c r="M195">
        <v>0</v>
      </c>
      <c r="N195">
        <v>0</v>
      </c>
    </row>
    <row r="196" spans="1:14" x14ac:dyDescent="0.25">
      <c r="A196">
        <v>358</v>
      </c>
      <c r="B196" s="1">
        <v>43426</v>
      </c>
      <c r="C196" t="s">
        <v>20</v>
      </c>
      <c r="D196" t="s">
        <v>15</v>
      </c>
      <c r="E196" t="s">
        <v>16</v>
      </c>
      <c r="F196" s="4">
        <v>16496</v>
      </c>
      <c r="G196">
        <v>2.65</v>
      </c>
      <c r="H196">
        <v>35.380000000000003</v>
      </c>
      <c r="I196">
        <v>2.33</v>
      </c>
      <c r="J196">
        <v>1961.13</v>
      </c>
      <c r="K196">
        <v>-11.46</v>
      </c>
      <c r="L196">
        <v>0.45</v>
      </c>
      <c r="M196">
        <v>0</v>
      </c>
      <c r="N196">
        <v>0</v>
      </c>
    </row>
    <row r="197" spans="1:14" x14ac:dyDescent="0.25">
      <c r="A197">
        <v>365</v>
      </c>
      <c r="B197" s="1">
        <v>43433</v>
      </c>
      <c r="C197" t="s">
        <v>20</v>
      </c>
      <c r="D197" t="s">
        <v>15</v>
      </c>
      <c r="E197" t="s">
        <v>16</v>
      </c>
      <c r="F197" s="4">
        <v>16423</v>
      </c>
      <c r="G197">
        <v>3.3</v>
      </c>
      <c r="H197">
        <v>38</v>
      </c>
      <c r="I197">
        <v>1.21</v>
      </c>
      <c r="J197">
        <v>1596.71</v>
      </c>
      <c r="K197">
        <v>-9.81</v>
      </c>
      <c r="L197">
        <v>0.12</v>
      </c>
      <c r="M197">
        <v>0</v>
      </c>
      <c r="N197">
        <v>0</v>
      </c>
    </row>
    <row r="198" spans="1:14" x14ac:dyDescent="0.25">
      <c r="A198">
        <v>359</v>
      </c>
      <c r="B198" s="1">
        <v>43427</v>
      </c>
      <c r="C198" t="s">
        <v>20</v>
      </c>
      <c r="D198" t="s">
        <v>15</v>
      </c>
      <c r="E198" t="s">
        <v>16</v>
      </c>
      <c r="F198" s="4">
        <v>16314</v>
      </c>
      <c r="G198">
        <v>1.68</v>
      </c>
      <c r="H198">
        <v>30.58</v>
      </c>
      <c r="I198">
        <v>1.49</v>
      </c>
      <c r="J198">
        <v>1989.38</v>
      </c>
      <c r="K198">
        <v>-14.52</v>
      </c>
      <c r="L198">
        <v>0.45</v>
      </c>
      <c r="M198">
        <v>0</v>
      </c>
      <c r="N198">
        <v>0</v>
      </c>
    </row>
    <row r="199" spans="1:14" x14ac:dyDescent="0.25">
      <c r="A199">
        <v>366</v>
      </c>
      <c r="B199" s="1">
        <v>43434</v>
      </c>
      <c r="C199" t="s">
        <v>20</v>
      </c>
      <c r="D199" t="s">
        <v>15</v>
      </c>
      <c r="E199" t="s">
        <v>16</v>
      </c>
      <c r="F199" s="4">
        <v>16297</v>
      </c>
      <c r="G199">
        <v>2.76</v>
      </c>
      <c r="H199">
        <v>47.21</v>
      </c>
      <c r="I199">
        <v>1.43</v>
      </c>
      <c r="J199">
        <v>1581.92</v>
      </c>
      <c r="K199">
        <v>-8.3699999999999992</v>
      </c>
      <c r="L199">
        <v>0.43</v>
      </c>
      <c r="M199">
        <v>0</v>
      </c>
      <c r="N199">
        <v>0</v>
      </c>
    </row>
    <row r="200" spans="1:14" x14ac:dyDescent="0.25">
      <c r="A200">
        <v>363</v>
      </c>
      <c r="B200" s="1">
        <v>43431</v>
      </c>
      <c r="C200" t="s">
        <v>20</v>
      </c>
      <c r="D200" t="s">
        <v>15</v>
      </c>
      <c r="E200" t="s">
        <v>16</v>
      </c>
      <c r="F200" s="4">
        <v>16282</v>
      </c>
      <c r="G200">
        <v>7.07</v>
      </c>
      <c r="H200">
        <v>68</v>
      </c>
      <c r="I200">
        <v>1.35</v>
      </c>
      <c r="J200">
        <v>405.29</v>
      </c>
      <c r="K200">
        <v>1</v>
      </c>
      <c r="L200">
        <v>0.19</v>
      </c>
      <c r="M200">
        <v>0</v>
      </c>
      <c r="N200">
        <v>0</v>
      </c>
    </row>
    <row r="201" spans="1:14" x14ac:dyDescent="0.25">
      <c r="A201">
        <v>169</v>
      </c>
      <c r="B201" s="1">
        <v>43238</v>
      </c>
      <c r="C201" t="s">
        <v>17</v>
      </c>
      <c r="D201" t="s">
        <v>15</v>
      </c>
      <c r="E201" t="s">
        <v>16</v>
      </c>
      <c r="F201" s="4">
        <v>16087</v>
      </c>
      <c r="G201">
        <v>16.899999999999999</v>
      </c>
      <c r="H201">
        <v>89.21</v>
      </c>
      <c r="I201">
        <v>1.3</v>
      </c>
      <c r="J201">
        <v>1087.54</v>
      </c>
      <c r="K201">
        <v>14.97</v>
      </c>
      <c r="L201">
        <v>0.24</v>
      </c>
      <c r="M201">
        <v>7.5</v>
      </c>
      <c r="N201">
        <v>0</v>
      </c>
    </row>
    <row r="202" spans="1:14" x14ac:dyDescent="0.25">
      <c r="A202">
        <v>311</v>
      </c>
      <c r="B202" s="1">
        <v>43379</v>
      </c>
      <c r="C202" t="s">
        <v>20</v>
      </c>
      <c r="D202" t="s">
        <v>15</v>
      </c>
      <c r="E202" t="s">
        <v>16</v>
      </c>
      <c r="F202" s="4">
        <v>16037</v>
      </c>
      <c r="G202">
        <v>18.559999999999999</v>
      </c>
      <c r="H202">
        <v>81.239999999999995</v>
      </c>
      <c r="I202">
        <v>2.0499999999999998</v>
      </c>
      <c r="J202">
        <v>1603.53</v>
      </c>
      <c r="K202">
        <v>15.04</v>
      </c>
      <c r="L202">
        <v>0.4</v>
      </c>
      <c r="M202">
        <v>35.5</v>
      </c>
      <c r="N202">
        <v>0</v>
      </c>
    </row>
    <row r="203" spans="1:14" x14ac:dyDescent="0.25">
      <c r="A203">
        <v>103</v>
      </c>
      <c r="B203" s="1">
        <v>43172</v>
      </c>
      <c r="C203" t="s">
        <v>17</v>
      </c>
      <c r="D203" t="s">
        <v>15</v>
      </c>
      <c r="E203" t="s">
        <v>16</v>
      </c>
      <c r="F203" s="4">
        <v>15963</v>
      </c>
      <c r="G203">
        <v>11.65</v>
      </c>
      <c r="H203">
        <v>59.25</v>
      </c>
      <c r="I203">
        <v>1.73</v>
      </c>
      <c r="J203">
        <v>973.79</v>
      </c>
      <c r="K203">
        <v>3.64</v>
      </c>
      <c r="L203">
        <v>0.59</v>
      </c>
      <c r="M203">
        <v>0</v>
      </c>
      <c r="N203">
        <v>0</v>
      </c>
    </row>
    <row r="204" spans="1:14" x14ac:dyDescent="0.25">
      <c r="A204">
        <v>266</v>
      </c>
      <c r="B204" s="1">
        <v>43335</v>
      </c>
      <c r="C204" t="s">
        <v>19</v>
      </c>
      <c r="D204" t="s">
        <v>15</v>
      </c>
      <c r="E204" t="s">
        <v>16</v>
      </c>
      <c r="F204" s="4">
        <v>15958</v>
      </c>
      <c r="G204">
        <v>29.6</v>
      </c>
      <c r="H204">
        <v>58.25</v>
      </c>
      <c r="I204">
        <v>1.66</v>
      </c>
      <c r="J204">
        <v>1980.08</v>
      </c>
      <c r="K204">
        <v>20.309999999999999</v>
      </c>
      <c r="L204">
        <v>0.39</v>
      </c>
      <c r="M204">
        <v>2.5</v>
      </c>
      <c r="N204">
        <v>0</v>
      </c>
    </row>
    <row r="205" spans="1:14" x14ac:dyDescent="0.25">
      <c r="A205">
        <v>357</v>
      </c>
      <c r="B205" s="1">
        <v>43425</v>
      </c>
      <c r="C205" t="s">
        <v>20</v>
      </c>
      <c r="D205" t="s">
        <v>15</v>
      </c>
      <c r="E205" t="s">
        <v>16</v>
      </c>
      <c r="F205" s="4">
        <v>15732</v>
      </c>
      <c r="G205">
        <v>6.25</v>
      </c>
      <c r="H205">
        <v>60.75</v>
      </c>
      <c r="I205">
        <v>1.08</v>
      </c>
      <c r="J205">
        <v>1436.46</v>
      </c>
      <c r="K205">
        <v>-1.46</v>
      </c>
      <c r="L205">
        <v>0.12</v>
      </c>
      <c r="M205">
        <v>1.2</v>
      </c>
      <c r="N205">
        <v>0</v>
      </c>
    </row>
    <row r="206" spans="1:14" x14ac:dyDescent="0.25">
      <c r="A206">
        <v>353</v>
      </c>
      <c r="B206" s="1">
        <v>43421</v>
      </c>
      <c r="C206" t="s">
        <v>20</v>
      </c>
      <c r="D206" t="s">
        <v>15</v>
      </c>
      <c r="E206" t="s">
        <v>16</v>
      </c>
      <c r="F206" s="4">
        <v>15689</v>
      </c>
      <c r="G206">
        <v>4.9800000000000004</v>
      </c>
      <c r="H206">
        <v>53.33</v>
      </c>
      <c r="I206">
        <v>1.46</v>
      </c>
      <c r="J206">
        <v>1556.83</v>
      </c>
      <c r="K206">
        <v>-4.46</v>
      </c>
      <c r="L206">
        <v>0.38</v>
      </c>
      <c r="M206">
        <v>0</v>
      </c>
      <c r="N206">
        <v>0</v>
      </c>
    </row>
    <row r="207" spans="1:14" x14ac:dyDescent="0.25">
      <c r="A207">
        <v>107</v>
      </c>
      <c r="B207" s="1">
        <v>43176</v>
      </c>
      <c r="C207" t="s">
        <v>17</v>
      </c>
      <c r="D207" t="s">
        <v>15</v>
      </c>
      <c r="E207" t="s">
        <v>16</v>
      </c>
      <c r="F207" s="4">
        <v>15389</v>
      </c>
      <c r="G207">
        <v>6.38</v>
      </c>
      <c r="H207">
        <v>47.92</v>
      </c>
      <c r="I207">
        <v>1.6</v>
      </c>
      <c r="J207">
        <v>1659.04</v>
      </c>
      <c r="K207">
        <v>-4.37</v>
      </c>
      <c r="L207">
        <v>0.74</v>
      </c>
      <c r="M207">
        <v>0</v>
      </c>
      <c r="N207">
        <v>0</v>
      </c>
    </row>
    <row r="208" spans="1:14" x14ac:dyDescent="0.25">
      <c r="A208">
        <v>106</v>
      </c>
      <c r="B208" s="1">
        <v>43175</v>
      </c>
      <c r="C208" t="s">
        <v>17</v>
      </c>
      <c r="D208" t="s">
        <v>15</v>
      </c>
      <c r="E208" t="s">
        <v>16</v>
      </c>
      <c r="F208" s="4">
        <v>15277</v>
      </c>
      <c r="G208">
        <v>7.35</v>
      </c>
      <c r="H208">
        <v>50.04</v>
      </c>
      <c r="I208">
        <v>1.9</v>
      </c>
      <c r="J208">
        <v>1989.5</v>
      </c>
      <c r="K208">
        <v>-2.97</v>
      </c>
      <c r="L208">
        <v>0.88</v>
      </c>
      <c r="M208">
        <v>0</v>
      </c>
      <c r="N208">
        <v>0</v>
      </c>
    </row>
    <row r="209" spans="1:14" x14ac:dyDescent="0.25">
      <c r="A209">
        <v>113</v>
      </c>
      <c r="B209" s="1">
        <v>43182</v>
      </c>
      <c r="C209" t="s">
        <v>17</v>
      </c>
      <c r="D209" t="s">
        <v>15</v>
      </c>
      <c r="E209" t="s">
        <v>16</v>
      </c>
      <c r="F209" s="4">
        <v>14969</v>
      </c>
      <c r="G209">
        <v>6.08</v>
      </c>
      <c r="H209">
        <v>57.21</v>
      </c>
      <c r="I209">
        <v>1.94</v>
      </c>
      <c r="J209">
        <v>800.08</v>
      </c>
      <c r="K209">
        <v>-2.69</v>
      </c>
      <c r="L209">
        <v>0.8</v>
      </c>
      <c r="M209">
        <v>0</v>
      </c>
      <c r="N209">
        <v>0</v>
      </c>
    </row>
    <row r="210" spans="1:14" x14ac:dyDescent="0.25">
      <c r="A210">
        <v>117</v>
      </c>
      <c r="B210" s="1">
        <v>43186</v>
      </c>
      <c r="C210" t="s">
        <v>17</v>
      </c>
      <c r="D210" t="s">
        <v>15</v>
      </c>
      <c r="E210" t="s">
        <v>16</v>
      </c>
      <c r="F210" s="4">
        <v>14710</v>
      </c>
      <c r="G210">
        <v>13.08</v>
      </c>
      <c r="H210">
        <v>60.25</v>
      </c>
      <c r="I210">
        <v>1.6</v>
      </c>
      <c r="J210">
        <v>490.58</v>
      </c>
      <c r="K210">
        <v>5.18</v>
      </c>
      <c r="L210">
        <v>0.67</v>
      </c>
      <c r="M210">
        <v>0</v>
      </c>
      <c r="N210">
        <v>0</v>
      </c>
    </row>
    <row r="211" spans="1:14" x14ac:dyDescent="0.25">
      <c r="A211">
        <v>157</v>
      </c>
      <c r="B211" s="1">
        <v>43226</v>
      </c>
      <c r="C211" t="s">
        <v>17</v>
      </c>
      <c r="D211" t="s">
        <v>15</v>
      </c>
      <c r="E211" t="s">
        <v>16</v>
      </c>
      <c r="F211" s="4">
        <v>14556</v>
      </c>
      <c r="G211">
        <v>16.920000000000002</v>
      </c>
      <c r="H211">
        <v>84.04</v>
      </c>
      <c r="I211">
        <v>1.1000000000000001</v>
      </c>
      <c r="J211">
        <v>1222.3800000000001</v>
      </c>
      <c r="K211">
        <v>13.98</v>
      </c>
      <c r="L211">
        <v>0.39</v>
      </c>
      <c r="M211">
        <v>22</v>
      </c>
      <c r="N211">
        <v>0</v>
      </c>
    </row>
    <row r="212" spans="1:14" x14ac:dyDescent="0.25">
      <c r="A212">
        <v>270</v>
      </c>
      <c r="B212" s="1">
        <v>43339</v>
      </c>
      <c r="C212" t="s">
        <v>19</v>
      </c>
      <c r="D212" t="s">
        <v>15</v>
      </c>
      <c r="E212" t="s">
        <v>16</v>
      </c>
      <c r="F212" s="4">
        <v>14435</v>
      </c>
      <c r="G212">
        <v>22.43</v>
      </c>
      <c r="H212">
        <v>91</v>
      </c>
      <c r="I212">
        <v>0.86</v>
      </c>
      <c r="J212">
        <v>1201.6300000000001</v>
      </c>
      <c r="K212">
        <v>20.8</v>
      </c>
      <c r="L212">
        <v>0.33</v>
      </c>
      <c r="M212">
        <v>19.5</v>
      </c>
      <c r="N212">
        <v>0</v>
      </c>
    </row>
    <row r="213" spans="1:14" x14ac:dyDescent="0.25">
      <c r="A213">
        <v>354</v>
      </c>
      <c r="B213" s="1">
        <v>43422</v>
      </c>
      <c r="C213" t="s">
        <v>20</v>
      </c>
      <c r="D213" t="s">
        <v>15</v>
      </c>
      <c r="E213" t="s">
        <v>16</v>
      </c>
      <c r="F213" s="4">
        <v>14319</v>
      </c>
      <c r="G213">
        <v>5.88</v>
      </c>
      <c r="H213">
        <v>47.08</v>
      </c>
      <c r="I213">
        <v>1.1499999999999999</v>
      </c>
      <c r="J213">
        <v>1720.96</v>
      </c>
      <c r="K213">
        <v>-4.6900000000000004</v>
      </c>
      <c r="L213">
        <v>0.31</v>
      </c>
      <c r="M213">
        <v>0</v>
      </c>
      <c r="N213">
        <v>0</v>
      </c>
    </row>
    <row r="214" spans="1:14" x14ac:dyDescent="0.25">
      <c r="A214">
        <v>294</v>
      </c>
      <c r="B214" s="1">
        <v>43363</v>
      </c>
      <c r="C214" t="s">
        <v>20</v>
      </c>
      <c r="D214" t="s">
        <v>15</v>
      </c>
      <c r="E214" t="s">
        <v>16</v>
      </c>
      <c r="F214" s="4">
        <v>14282</v>
      </c>
      <c r="G214">
        <v>19.05</v>
      </c>
      <c r="H214">
        <v>80.209999999999994</v>
      </c>
      <c r="I214">
        <v>1.74</v>
      </c>
      <c r="J214">
        <v>1387.88</v>
      </c>
      <c r="K214">
        <v>15.38</v>
      </c>
      <c r="L214">
        <v>0.17</v>
      </c>
      <c r="M214">
        <v>5</v>
      </c>
      <c r="N214">
        <v>0</v>
      </c>
    </row>
    <row r="215" spans="1:14" x14ac:dyDescent="0.25">
      <c r="A215">
        <v>290</v>
      </c>
      <c r="B215" s="1">
        <v>43359</v>
      </c>
      <c r="C215" t="s">
        <v>20</v>
      </c>
      <c r="D215" t="s">
        <v>15</v>
      </c>
      <c r="E215" t="s">
        <v>16</v>
      </c>
      <c r="F215" s="4">
        <v>14178</v>
      </c>
      <c r="G215">
        <v>22.34</v>
      </c>
      <c r="H215">
        <v>82.92</v>
      </c>
      <c r="I215">
        <v>1.75</v>
      </c>
      <c r="J215">
        <v>731.21</v>
      </c>
      <c r="K215">
        <v>19.149999999999999</v>
      </c>
      <c r="L215">
        <v>0.27</v>
      </c>
      <c r="M215">
        <v>2</v>
      </c>
      <c r="N215">
        <v>0</v>
      </c>
    </row>
    <row r="216" spans="1:14" x14ac:dyDescent="0.25">
      <c r="A216">
        <v>112</v>
      </c>
      <c r="B216" s="1">
        <v>43181</v>
      </c>
      <c r="C216" t="s">
        <v>17</v>
      </c>
      <c r="D216" t="s">
        <v>15</v>
      </c>
      <c r="E216" t="s">
        <v>16</v>
      </c>
      <c r="F216" s="4">
        <v>14007</v>
      </c>
      <c r="G216">
        <v>4.8499999999999996</v>
      </c>
      <c r="H216">
        <v>62.25</v>
      </c>
      <c r="I216">
        <v>2.23</v>
      </c>
      <c r="J216">
        <v>1232.8800000000001</v>
      </c>
      <c r="K216">
        <v>-2.66</v>
      </c>
      <c r="L216">
        <v>0.85</v>
      </c>
      <c r="M216">
        <v>0</v>
      </c>
      <c r="N216">
        <v>0</v>
      </c>
    </row>
    <row r="217" spans="1:14" x14ac:dyDescent="0.25">
      <c r="A217">
        <v>173</v>
      </c>
      <c r="B217" s="1">
        <v>43242</v>
      </c>
      <c r="C217" t="s">
        <v>17</v>
      </c>
      <c r="D217" t="s">
        <v>3</v>
      </c>
      <c r="E217" t="s">
        <v>16</v>
      </c>
      <c r="F217" s="4">
        <v>13790</v>
      </c>
      <c r="G217">
        <v>18.2</v>
      </c>
      <c r="H217">
        <v>60.46</v>
      </c>
      <c r="I217">
        <v>1.05</v>
      </c>
      <c r="J217">
        <v>1153.04</v>
      </c>
      <c r="K217">
        <v>12.84</v>
      </c>
      <c r="L217">
        <v>0.45</v>
      </c>
      <c r="M217">
        <v>9</v>
      </c>
      <c r="N217">
        <v>0</v>
      </c>
    </row>
    <row r="218" spans="1:14" x14ac:dyDescent="0.25">
      <c r="A218">
        <v>331</v>
      </c>
      <c r="B218" s="1">
        <v>43399</v>
      </c>
      <c r="C218" t="s">
        <v>20</v>
      </c>
      <c r="D218" t="s">
        <v>15</v>
      </c>
      <c r="E218" t="s">
        <v>16</v>
      </c>
      <c r="F218" s="4">
        <v>13377</v>
      </c>
      <c r="G218">
        <v>12.52</v>
      </c>
      <c r="H218">
        <v>72.67</v>
      </c>
      <c r="I218">
        <v>1.67</v>
      </c>
      <c r="J218">
        <v>1383.46</v>
      </c>
      <c r="K218">
        <v>7.5</v>
      </c>
      <c r="L218">
        <v>0.13</v>
      </c>
      <c r="M218">
        <v>11</v>
      </c>
      <c r="N218">
        <v>0</v>
      </c>
    </row>
    <row r="219" spans="1:14" x14ac:dyDescent="0.25">
      <c r="A219">
        <v>102</v>
      </c>
      <c r="B219" s="1">
        <v>43171</v>
      </c>
      <c r="C219" t="s">
        <v>17</v>
      </c>
      <c r="D219" t="s">
        <v>15</v>
      </c>
      <c r="E219" t="s">
        <v>16</v>
      </c>
      <c r="F219" s="4">
        <v>13339</v>
      </c>
      <c r="G219">
        <v>7.79</v>
      </c>
      <c r="H219">
        <v>44.46</v>
      </c>
      <c r="I219">
        <v>1.4</v>
      </c>
      <c r="J219">
        <v>812.79</v>
      </c>
      <c r="K219">
        <v>-3.8</v>
      </c>
      <c r="L219">
        <v>0.57999999999999996</v>
      </c>
      <c r="M219">
        <v>0</v>
      </c>
      <c r="N219">
        <v>0</v>
      </c>
    </row>
    <row r="220" spans="1:14" x14ac:dyDescent="0.25">
      <c r="A220">
        <v>347</v>
      </c>
      <c r="B220" s="1">
        <v>43415</v>
      </c>
      <c r="C220" t="s">
        <v>20</v>
      </c>
      <c r="D220" t="s">
        <v>15</v>
      </c>
      <c r="E220" t="s">
        <v>16</v>
      </c>
      <c r="F220" s="4">
        <v>13138</v>
      </c>
      <c r="G220">
        <v>8.4</v>
      </c>
      <c r="H220">
        <v>69.709999999999994</v>
      </c>
      <c r="I220">
        <v>1.03</v>
      </c>
      <c r="J220">
        <v>750.08</v>
      </c>
      <c r="K220">
        <v>2.92</v>
      </c>
      <c r="L220">
        <v>0.16</v>
      </c>
      <c r="M220">
        <v>0</v>
      </c>
      <c r="N220">
        <v>0</v>
      </c>
    </row>
    <row r="221" spans="1:14" x14ac:dyDescent="0.25">
      <c r="A221">
        <v>116</v>
      </c>
      <c r="B221" s="1">
        <v>43185</v>
      </c>
      <c r="C221" t="s">
        <v>17</v>
      </c>
      <c r="D221" t="s">
        <v>15</v>
      </c>
      <c r="E221" t="s">
        <v>16</v>
      </c>
      <c r="F221" s="4">
        <v>13084</v>
      </c>
      <c r="G221">
        <v>10.8</v>
      </c>
      <c r="H221">
        <v>65.5</v>
      </c>
      <c r="I221">
        <v>1.99</v>
      </c>
      <c r="J221">
        <v>460</v>
      </c>
      <c r="K221">
        <v>3.36</v>
      </c>
      <c r="L221">
        <v>0.79</v>
      </c>
      <c r="M221">
        <v>0</v>
      </c>
      <c r="N221">
        <v>0</v>
      </c>
    </row>
    <row r="222" spans="1:14" x14ac:dyDescent="0.25">
      <c r="A222">
        <v>114</v>
      </c>
      <c r="B222" s="1">
        <v>43183</v>
      </c>
      <c r="C222" t="s">
        <v>17</v>
      </c>
      <c r="D222" t="s">
        <v>15</v>
      </c>
      <c r="E222" t="s">
        <v>16</v>
      </c>
      <c r="F222" s="4">
        <v>12243</v>
      </c>
      <c r="G222">
        <v>7.48</v>
      </c>
      <c r="H222">
        <v>59.71</v>
      </c>
      <c r="I222">
        <v>2.2000000000000002</v>
      </c>
      <c r="J222">
        <v>448.25</v>
      </c>
      <c r="K222">
        <v>-0.18</v>
      </c>
      <c r="L222">
        <v>0.64</v>
      </c>
      <c r="M222">
        <v>0</v>
      </c>
      <c r="N222">
        <v>0</v>
      </c>
    </row>
    <row r="223" spans="1:14" x14ac:dyDescent="0.25">
      <c r="A223">
        <v>93</v>
      </c>
      <c r="B223" s="1">
        <v>43162</v>
      </c>
      <c r="C223" t="s">
        <v>17</v>
      </c>
      <c r="D223" t="s">
        <v>15</v>
      </c>
      <c r="E223" t="s">
        <v>16</v>
      </c>
      <c r="F223" s="4">
        <v>12191</v>
      </c>
      <c r="G223">
        <v>7.18</v>
      </c>
      <c r="H223">
        <v>33.54</v>
      </c>
      <c r="I223">
        <v>1.6</v>
      </c>
      <c r="J223">
        <v>1712.92</v>
      </c>
      <c r="K223">
        <v>-9.09</v>
      </c>
      <c r="L223">
        <v>0.75</v>
      </c>
      <c r="M223">
        <v>0</v>
      </c>
      <c r="N223">
        <v>0</v>
      </c>
    </row>
    <row r="224" spans="1:14" x14ac:dyDescent="0.25">
      <c r="A224">
        <v>96</v>
      </c>
      <c r="B224" s="1">
        <v>43165</v>
      </c>
      <c r="C224" t="s">
        <v>17</v>
      </c>
      <c r="D224" t="s">
        <v>15</v>
      </c>
      <c r="E224" t="s">
        <v>16</v>
      </c>
      <c r="F224" s="4">
        <v>12003</v>
      </c>
      <c r="G224">
        <v>4.29</v>
      </c>
      <c r="H224">
        <v>49.46</v>
      </c>
      <c r="I224">
        <v>1.55</v>
      </c>
      <c r="J224">
        <v>1816.33</v>
      </c>
      <c r="K224">
        <v>-6.58</v>
      </c>
      <c r="L224">
        <v>0.74</v>
      </c>
      <c r="M224">
        <v>0</v>
      </c>
      <c r="N224">
        <v>0</v>
      </c>
    </row>
    <row r="225" spans="1:14" x14ac:dyDescent="0.25">
      <c r="A225">
        <v>101</v>
      </c>
      <c r="B225" s="1">
        <v>43170</v>
      </c>
      <c r="C225" t="s">
        <v>17</v>
      </c>
      <c r="D225" t="s">
        <v>15</v>
      </c>
      <c r="E225" t="s">
        <v>16</v>
      </c>
      <c r="F225" s="4">
        <v>11843</v>
      </c>
      <c r="G225">
        <v>6.61</v>
      </c>
      <c r="H225">
        <v>53.33</v>
      </c>
      <c r="I225">
        <v>1.94</v>
      </c>
      <c r="J225">
        <v>945.13</v>
      </c>
      <c r="K225">
        <v>-3.88</v>
      </c>
      <c r="L225">
        <v>0.75</v>
      </c>
      <c r="M225">
        <v>0</v>
      </c>
      <c r="N225">
        <v>0</v>
      </c>
    </row>
    <row r="226" spans="1:14" x14ac:dyDescent="0.25">
      <c r="A226">
        <v>267</v>
      </c>
      <c r="B226" s="1">
        <v>43336</v>
      </c>
      <c r="C226" t="s">
        <v>19</v>
      </c>
      <c r="D226" t="s">
        <v>15</v>
      </c>
      <c r="E226" t="s">
        <v>16</v>
      </c>
      <c r="F226" s="4">
        <v>11658</v>
      </c>
      <c r="G226">
        <v>24.63</v>
      </c>
      <c r="H226">
        <v>84.58</v>
      </c>
      <c r="I226">
        <v>2.4300000000000002</v>
      </c>
      <c r="J226">
        <v>1768.17</v>
      </c>
      <c r="K226">
        <v>21.76</v>
      </c>
      <c r="L226">
        <v>0.24</v>
      </c>
      <c r="M226">
        <v>8</v>
      </c>
      <c r="N226">
        <v>0</v>
      </c>
    </row>
    <row r="227" spans="1:14" x14ac:dyDescent="0.25">
      <c r="A227">
        <v>99</v>
      </c>
      <c r="B227" s="1">
        <v>43168</v>
      </c>
      <c r="C227" t="s">
        <v>17</v>
      </c>
      <c r="D227" t="s">
        <v>15</v>
      </c>
      <c r="E227" t="s">
        <v>16</v>
      </c>
      <c r="F227" s="4">
        <v>11642</v>
      </c>
      <c r="G227">
        <v>4.5999999999999996</v>
      </c>
      <c r="H227">
        <v>62.04</v>
      </c>
      <c r="I227">
        <v>1.51</v>
      </c>
      <c r="J227">
        <v>1083.67</v>
      </c>
      <c r="K227">
        <v>-2.2999999999999998</v>
      </c>
      <c r="L227">
        <v>0.43</v>
      </c>
      <c r="M227">
        <v>0</v>
      </c>
      <c r="N227">
        <v>0</v>
      </c>
    </row>
    <row r="228" spans="1:14" x14ac:dyDescent="0.25">
      <c r="A228">
        <v>333</v>
      </c>
      <c r="B228" s="1">
        <v>43401</v>
      </c>
      <c r="C228" t="s">
        <v>20</v>
      </c>
      <c r="D228" t="s">
        <v>15</v>
      </c>
      <c r="E228" t="s">
        <v>16</v>
      </c>
      <c r="F228" s="4">
        <v>11589</v>
      </c>
      <c r="G228">
        <v>8.41</v>
      </c>
      <c r="H228">
        <v>75.17</v>
      </c>
      <c r="I228">
        <v>1.43</v>
      </c>
      <c r="J228">
        <v>1895.21</v>
      </c>
      <c r="K228">
        <v>4.08</v>
      </c>
      <c r="L228">
        <v>0.28000000000000003</v>
      </c>
      <c r="M228">
        <v>5.5</v>
      </c>
      <c r="N228">
        <v>0</v>
      </c>
    </row>
    <row r="229" spans="1:14" x14ac:dyDescent="0.25">
      <c r="A229">
        <v>127</v>
      </c>
      <c r="B229" s="1">
        <v>43196</v>
      </c>
      <c r="C229" t="s">
        <v>17</v>
      </c>
      <c r="D229" t="s">
        <v>15</v>
      </c>
      <c r="E229" t="s">
        <v>16</v>
      </c>
      <c r="F229" s="4">
        <v>11520</v>
      </c>
      <c r="G229">
        <v>6.3</v>
      </c>
      <c r="H229">
        <v>74.040000000000006</v>
      </c>
      <c r="I229">
        <v>3.04</v>
      </c>
      <c r="J229">
        <v>848.46</v>
      </c>
      <c r="K229">
        <v>1.58</v>
      </c>
      <c r="L229">
        <v>0.47</v>
      </c>
      <c r="M229">
        <v>7</v>
      </c>
      <c r="N229">
        <v>0</v>
      </c>
    </row>
    <row r="230" spans="1:14" x14ac:dyDescent="0.25">
      <c r="A230">
        <v>110</v>
      </c>
      <c r="B230" s="1">
        <v>43179</v>
      </c>
      <c r="C230" t="s">
        <v>17</v>
      </c>
      <c r="D230" t="s">
        <v>15</v>
      </c>
      <c r="E230" t="s">
        <v>16</v>
      </c>
      <c r="F230" s="4">
        <v>11515</v>
      </c>
      <c r="G230">
        <v>5.04</v>
      </c>
      <c r="H230">
        <v>40.58</v>
      </c>
      <c r="I230">
        <v>3.46</v>
      </c>
      <c r="J230">
        <v>1996.79</v>
      </c>
      <c r="K230">
        <v>-7.28</v>
      </c>
      <c r="L230">
        <v>0.6</v>
      </c>
      <c r="M230">
        <v>0</v>
      </c>
      <c r="N230">
        <v>0</v>
      </c>
    </row>
    <row r="231" spans="1:14" x14ac:dyDescent="0.25">
      <c r="A231">
        <v>361</v>
      </c>
      <c r="B231" s="1">
        <v>43429</v>
      </c>
      <c r="C231" t="s">
        <v>20</v>
      </c>
      <c r="D231" t="s">
        <v>15</v>
      </c>
      <c r="E231" t="s">
        <v>16</v>
      </c>
      <c r="F231" s="4">
        <v>11212</v>
      </c>
      <c r="G231">
        <v>4.8600000000000003</v>
      </c>
      <c r="H231">
        <v>76.959999999999994</v>
      </c>
      <c r="I231">
        <v>0.97</v>
      </c>
      <c r="J231">
        <v>461.79</v>
      </c>
      <c r="K231">
        <v>0.83</v>
      </c>
      <c r="L231">
        <v>0.33</v>
      </c>
      <c r="M231">
        <v>0</v>
      </c>
      <c r="N231">
        <v>41.4</v>
      </c>
    </row>
    <row r="232" spans="1:14" x14ac:dyDescent="0.25">
      <c r="A232">
        <v>97</v>
      </c>
      <c r="B232" s="1">
        <v>43166</v>
      </c>
      <c r="C232" t="s">
        <v>17</v>
      </c>
      <c r="D232" t="s">
        <v>15</v>
      </c>
      <c r="E232" t="s">
        <v>16</v>
      </c>
      <c r="F232" s="4">
        <v>11170</v>
      </c>
      <c r="G232">
        <v>6.19</v>
      </c>
      <c r="H232">
        <v>50.67</v>
      </c>
      <c r="I232">
        <v>1.72</v>
      </c>
      <c r="J232">
        <v>1873.63</v>
      </c>
      <c r="K232">
        <v>-3.61</v>
      </c>
      <c r="L232">
        <v>0.45</v>
      </c>
      <c r="M232">
        <v>0</v>
      </c>
      <c r="N232">
        <v>0</v>
      </c>
    </row>
    <row r="233" spans="1:14" x14ac:dyDescent="0.25">
      <c r="A233">
        <v>128</v>
      </c>
      <c r="B233" s="1">
        <v>43197</v>
      </c>
      <c r="C233" t="s">
        <v>17</v>
      </c>
      <c r="D233" t="s">
        <v>15</v>
      </c>
      <c r="E233" t="s">
        <v>16</v>
      </c>
      <c r="F233" s="4">
        <v>11159</v>
      </c>
      <c r="G233">
        <v>4.21</v>
      </c>
      <c r="H233">
        <v>46</v>
      </c>
      <c r="I233">
        <v>4</v>
      </c>
      <c r="J233">
        <v>1597.96</v>
      </c>
      <c r="K233">
        <v>-7.24</v>
      </c>
      <c r="L233">
        <v>0.76</v>
      </c>
      <c r="M233">
        <v>0.2</v>
      </c>
      <c r="N233">
        <v>0</v>
      </c>
    </row>
    <row r="234" spans="1:14" x14ac:dyDescent="0.25">
      <c r="A234">
        <v>100</v>
      </c>
      <c r="B234" s="1">
        <v>43169</v>
      </c>
      <c r="C234" t="s">
        <v>17</v>
      </c>
      <c r="D234" t="s">
        <v>15</v>
      </c>
      <c r="E234" t="s">
        <v>16</v>
      </c>
      <c r="F234" s="4">
        <v>11064</v>
      </c>
      <c r="G234">
        <v>4.3499999999999996</v>
      </c>
      <c r="H234">
        <v>65.040000000000006</v>
      </c>
      <c r="I234">
        <v>1.95</v>
      </c>
      <c r="J234">
        <v>980.83</v>
      </c>
      <c r="K234">
        <v>-2.06</v>
      </c>
      <c r="L234">
        <v>0.69</v>
      </c>
      <c r="M234">
        <v>0</v>
      </c>
      <c r="N234">
        <v>0</v>
      </c>
    </row>
    <row r="235" spans="1:14" x14ac:dyDescent="0.25">
      <c r="A235">
        <v>115</v>
      </c>
      <c r="B235" s="1">
        <v>43184</v>
      </c>
      <c r="C235" t="s">
        <v>17</v>
      </c>
      <c r="D235" t="s">
        <v>15</v>
      </c>
      <c r="E235" t="s">
        <v>16</v>
      </c>
      <c r="F235" s="4">
        <v>10963</v>
      </c>
      <c r="G235">
        <v>9.6300000000000008</v>
      </c>
      <c r="H235">
        <v>65.83</v>
      </c>
      <c r="I235">
        <v>1.76</v>
      </c>
      <c r="J235">
        <v>264.17</v>
      </c>
      <c r="K235">
        <v>2.79</v>
      </c>
      <c r="L235">
        <v>0.8</v>
      </c>
      <c r="M235">
        <v>0</v>
      </c>
      <c r="N235">
        <v>0</v>
      </c>
    </row>
    <row r="236" spans="1:14" x14ac:dyDescent="0.25">
      <c r="A236">
        <v>277</v>
      </c>
      <c r="B236" s="1">
        <v>43346</v>
      </c>
      <c r="C236" t="s">
        <v>20</v>
      </c>
      <c r="D236" t="s">
        <v>15</v>
      </c>
      <c r="E236" t="s">
        <v>16</v>
      </c>
      <c r="F236" s="4">
        <v>10802</v>
      </c>
      <c r="G236">
        <v>23.6</v>
      </c>
      <c r="H236">
        <v>82.25</v>
      </c>
      <c r="I236">
        <v>1.06</v>
      </c>
      <c r="J236">
        <v>1504.42</v>
      </c>
      <c r="K236">
        <v>20.18</v>
      </c>
      <c r="L236">
        <v>0.14000000000000001</v>
      </c>
      <c r="M236">
        <v>34.5</v>
      </c>
      <c r="N236">
        <v>0</v>
      </c>
    </row>
    <row r="237" spans="1:14" x14ac:dyDescent="0.25">
      <c r="A237">
        <v>136</v>
      </c>
      <c r="B237" s="1">
        <v>43205</v>
      </c>
      <c r="C237" t="s">
        <v>17</v>
      </c>
      <c r="D237" t="s">
        <v>15</v>
      </c>
      <c r="E237" t="s">
        <v>16</v>
      </c>
      <c r="F237" s="4">
        <v>10207</v>
      </c>
      <c r="G237">
        <v>9.41</v>
      </c>
      <c r="H237">
        <v>67.709999999999994</v>
      </c>
      <c r="I237">
        <v>2.34</v>
      </c>
      <c r="J237">
        <v>1301.1300000000001</v>
      </c>
      <c r="K237">
        <v>3.42</v>
      </c>
      <c r="L237">
        <v>0.72</v>
      </c>
      <c r="M237">
        <v>0</v>
      </c>
      <c r="N237">
        <v>0</v>
      </c>
    </row>
    <row r="238" spans="1:14" x14ac:dyDescent="0.25">
      <c r="A238">
        <v>108</v>
      </c>
      <c r="B238" s="1">
        <v>43177</v>
      </c>
      <c r="C238" t="s">
        <v>17</v>
      </c>
      <c r="D238" t="s">
        <v>15</v>
      </c>
      <c r="E238" t="s">
        <v>16</v>
      </c>
      <c r="F238" s="4">
        <v>9609</v>
      </c>
      <c r="G238">
        <v>8.07</v>
      </c>
      <c r="H238">
        <v>53.83</v>
      </c>
      <c r="I238">
        <v>1.17</v>
      </c>
      <c r="J238">
        <v>845.63</v>
      </c>
      <c r="K238">
        <v>-1.02</v>
      </c>
      <c r="L238">
        <v>0.3</v>
      </c>
      <c r="M238">
        <v>0</v>
      </c>
      <c r="N238">
        <v>0</v>
      </c>
    </row>
    <row r="239" spans="1:14" x14ac:dyDescent="0.25">
      <c r="A239">
        <v>1</v>
      </c>
      <c r="B239" s="1">
        <v>43070</v>
      </c>
      <c r="C239" t="s">
        <v>14</v>
      </c>
      <c r="D239" t="s">
        <v>15</v>
      </c>
      <c r="E239" t="s">
        <v>16</v>
      </c>
      <c r="F239" s="4">
        <v>9539</v>
      </c>
      <c r="G239">
        <v>-2.4500000000000002</v>
      </c>
      <c r="H239">
        <v>45.88</v>
      </c>
      <c r="I239">
        <v>1.54</v>
      </c>
      <c r="J239">
        <v>1870.75</v>
      </c>
      <c r="K239">
        <v>-13.55</v>
      </c>
      <c r="L239">
        <v>0.25</v>
      </c>
      <c r="M239">
        <v>0</v>
      </c>
      <c r="N239">
        <v>0</v>
      </c>
    </row>
    <row r="240" spans="1:14" x14ac:dyDescent="0.25">
      <c r="A240">
        <v>88</v>
      </c>
      <c r="B240" s="1">
        <v>43157</v>
      </c>
      <c r="C240" t="s">
        <v>14</v>
      </c>
      <c r="D240" t="s">
        <v>15</v>
      </c>
      <c r="E240" t="s">
        <v>16</v>
      </c>
      <c r="F240" s="4">
        <v>9247</v>
      </c>
      <c r="G240">
        <v>2.73</v>
      </c>
      <c r="H240">
        <v>45.96</v>
      </c>
      <c r="I240">
        <v>1.37</v>
      </c>
      <c r="J240">
        <v>1324.63</v>
      </c>
      <c r="K240">
        <v>-8.77</v>
      </c>
      <c r="L240">
        <v>0.68</v>
      </c>
      <c r="M240">
        <v>0</v>
      </c>
      <c r="N240">
        <v>0</v>
      </c>
    </row>
    <row r="241" spans="1:14" x14ac:dyDescent="0.25">
      <c r="A241">
        <v>272</v>
      </c>
      <c r="B241" s="1">
        <v>43341</v>
      </c>
      <c r="C241" t="s">
        <v>19</v>
      </c>
      <c r="D241" t="s">
        <v>15</v>
      </c>
      <c r="E241" t="s">
        <v>16</v>
      </c>
      <c r="F241" s="4">
        <v>9184</v>
      </c>
      <c r="G241">
        <v>25.01</v>
      </c>
      <c r="H241">
        <v>86.58</v>
      </c>
      <c r="I241">
        <v>2.4300000000000002</v>
      </c>
      <c r="J241">
        <v>1642.42</v>
      </c>
      <c r="K241">
        <v>22.45</v>
      </c>
      <c r="L241">
        <v>0.11</v>
      </c>
      <c r="M241">
        <v>43</v>
      </c>
      <c r="N241">
        <v>0</v>
      </c>
    </row>
    <row r="242" spans="1:14" x14ac:dyDescent="0.25">
      <c r="A242">
        <v>271</v>
      </c>
      <c r="B242" s="1">
        <v>43340</v>
      </c>
      <c r="C242" t="s">
        <v>19</v>
      </c>
      <c r="D242" t="s">
        <v>15</v>
      </c>
      <c r="E242" t="s">
        <v>16</v>
      </c>
      <c r="F242" s="4">
        <v>9092</v>
      </c>
      <c r="G242">
        <v>23.82</v>
      </c>
      <c r="H242">
        <v>91.88</v>
      </c>
      <c r="I242">
        <v>0.99</v>
      </c>
      <c r="J242">
        <v>1394.58</v>
      </c>
      <c r="K242">
        <v>22.31</v>
      </c>
      <c r="L242">
        <v>0.18</v>
      </c>
      <c r="M242">
        <v>95.5</v>
      </c>
      <c r="N242">
        <v>0</v>
      </c>
    </row>
    <row r="243" spans="1:14" x14ac:dyDescent="0.25">
      <c r="A243">
        <v>109</v>
      </c>
      <c r="B243" s="1">
        <v>43178</v>
      </c>
      <c r="C243" t="s">
        <v>17</v>
      </c>
      <c r="D243" t="s">
        <v>15</v>
      </c>
      <c r="E243" t="s">
        <v>16</v>
      </c>
      <c r="F243" s="4">
        <v>8968</v>
      </c>
      <c r="G243">
        <v>8.02</v>
      </c>
      <c r="H243">
        <v>68.75</v>
      </c>
      <c r="I243">
        <v>2.38</v>
      </c>
      <c r="J243">
        <v>1316.5</v>
      </c>
      <c r="K243">
        <v>2.2200000000000002</v>
      </c>
      <c r="L243">
        <v>0.14000000000000001</v>
      </c>
      <c r="M243">
        <v>1.5</v>
      </c>
      <c r="N243">
        <v>0</v>
      </c>
    </row>
    <row r="244" spans="1:14" x14ac:dyDescent="0.25">
      <c r="A244">
        <v>89</v>
      </c>
      <c r="B244" s="1">
        <v>43158</v>
      </c>
      <c r="C244" t="s">
        <v>14</v>
      </c>
      <c r="D244" t="s">
        <v>15</v>
      </c>
      <c r="E244" t="s">
        <v>16</v>
      </c>
      <c r="F244" s="4">
        <v>8862</v>
      </c>
      <c r="G244">
        <v>4.01</v>
      </c>
      <c r="H244">
        <v>47</v>
      </c>
      <c r="I244">
        <v>0.9</v>
      </c>
      <c r="J244">
        <v>872.17</v>
      </c>
      <c r="K244">
        <v>-6.34</v>
      </c>
      <c r="L244">
        <v>0.12</v>
      </c>
      <c r="M244">
        <v>0</v>
      </c>
      <c r="N244">
        <v>0</v>
      </c>
    </row>
    <row r="245" spans="1:14" x14ac:dyDescent="0.25">
      <c r="A245">
        <v>4</v>
      </c>
      <c r="B245" s="1">
        <v>43073</v>
      </c>
      <c r="C245" t="s">
        <v>14</v>
      </c>
      <c r="D245" t="s">
        <v>15</v>
      </c>
      <c r="E245" t="s">
        <v>16</v>
      </c>
      <c r="F245" s="4">
        <v>8729</v>
      </c>
      <c r="G245">
        <v>-0.3</v>
      </c>
      <c r="H245">
        <v>52.5</v>
      </c>
      <c r="I245">
        <v>3.45</v>
      </c>
      <c r="J245">
        <v>1362.83</v>
      </c>
      <c r="K245">
        <v>-9.93</v>
      </c>
      <c r="L245">
        <v>0.28000000000000003</v>
      </c>
      <c r="M245">
        <v>0.1</v>
      </c>
      <c r="N245">
        <v>0</v>
      </c>
    </row>
    <row r="246" spans="1:14" x14ac:dyDescent="0.25">
      <c r="A246">
        <v>95</v>
      </c>
      <c r="B246" s="1">
        <v>43164</v>
      </c>
      <c r="C246" t="s">
        <v>17</v>
      </c>
      <c r="D246" t="s">
        <v>15</v>
      </c>
      <c r="E246" t="s">
        <v>16</v>
      </c>
      <c r="F246" s="4">
        <v>8597</v>
      </c>
      <c r="G246">
        <v>6.04</v>
      </c>
      <c r="H246">
        <v>68.58</v>
      </c>
      <c r="I246">
        <v>1.92</v>
      </c>
      <c r="J246">
        <v>1838.08</v>
      </c>
      <c r="K246">
        <v>0.15</v>
      </c>
      <c r="L246">
        <v>0.57999999999999996</v>
      </c>
      <c r="M246">
        <v>12.5</v>
      </c>
      <c r="N246">
        <v>0</v>
      </c>
    </row>
    <row r="247" spans="1:14" x14ac:dyDescent="0.25">
      <c r="A247">
        <v>7</v>
      </c>
      <c r="B247" s="1">
        <v>43076</v>
      </c>
      <c r="C247" t="s">
        <v>14</v>
      </c>
      <c r="D247" t="s">
        <v>15</v>
      </c>
      <c r="E247" t="s">
        <v>16</v>
      </c>
      <c r="F247" s="4">
        <v>8549</v>
      </c>
      <c r="G247">
        <v>1.0900000000000001</v>
      </c>
      <c r="H247">
        <v>67.540000000000006</v>
      </c>
      <c r="I247">
        <v>1.69</v>
      </c>
      <c r="J247">
        <v>949.42</v>
      </c>
      <c r="K247">
        <v>-5.01</v>
      </c>
      <c r="L247">
        <v>0.24</v>
      </c>
      <c r="M247">
        <v>0</v>
      </c>
      <c r="N247">
        <v>10.4</v>
      </c>
    </row>
    <row r="248" spans="1:14" x14ac:dyDescent="0.25">
      <c r="A248">
        <v>2</v>
      </c>
      <c r="B248" s="1">
        <v>43071</v>
      </c>
      <c r="C248" t="s">
        <v>14</v>
      </c>
      <c r="D248" t="s">
        <v>15</v>
      </c>
      <c r="E248" t="s">
        <v>16</v>
      </c>
      <c r="F248" s="4">
        <v>8523</v>
      </c>
      <c r="G248">
        <v>1.33</v>
      </c>
      <c r="H248">
        <v>61.96</v>
      </c>
      <c r="I248">
        <v>1.71</v>
      </c>
      <c r="J248">
        <v>1471.08</v>
      </c>
      <c r="K248">
        <v>-5.72</v>
      </c>
      <c r="L248">
        <v>0.26</v>
      </c>
      <c r="M248">
        <v>0</v>
      </c>
      <c r="N248">
        <v>0</v>
      </c>
    </row>
    <row r="249" spans="1:14" x14ac:dyDescent="0.25">
      <c r="A249">
        <v>92</v>
      </c>
      <c r="B249" s="1">
        <v>43161</v>
      </c>
      <c r="C249" t="s">
        <v>17</v>
      </c>
      <c r="D249" t="s">
        <v>15</v>
      </c>
      <c r="E249" t="s">
        <v>16</v>
      </c>
      <c r="F249" s="4">
        <v>8433</v>
      </c>
      <c r="G249">
        <v>-1.1499999999999999</v>
      </c>
      <c r="H249">
        <v>36.380000000000003</v>
      </c>
      <c r="I249">
        <v>1.64</v>
      </c>
      <c r="J249">
        <v>1679.29</v>
      </c>
      <c r="K249">
        <v>-14.91</v>
      </c>
      <c r="L249">
        <v>0.79</v>
      </c>
      <c r="M249">
        <v>0</v>
      </c>
      <c r="N249">
        <v>0</v>
      </c>
    </row>
    <row r="250" spans="1:14" x14ac:dyDescent="0.25">
      <c r="A250">
        <v>5</v>
      </c>
      <c r="B250" s="1">
        <v>43074</v>
      </c>
      <c r="C250" t="s">
        <v>14</v>
      </c>
      <c r="D250" t="s">
        <v>15</v>
      </c>
      <c r="E250" t="s">
        <v>16</v>
      </c>
      <c r="F250" s="4">
        <v>8307</v>
      </c>
      <c r="G250">
        <v>-4.46</v>
      </c>
      <c r="H250">
        <v>36.42</v>
      </c>
      <c r="I250">
        <v>1.1100000000000001</v>
      </c>
      <c r="J250">
        <v>1959.46</v>
      </c>
      <c r="K250">
        <v>-17.43</v>
      </c>
      <c r="L250">
        <v>0.04</v>
      </c>
      <c r="M250">
        <v>0</v>
      </c>
      <c r="N250">
        <v>0</v>
      </c>
    </row>
    <row r="251" spans="1:14" x14ac:dyDescent="0.25">
      <c r="A251">
        <v>8</v>
      </c>
      <c r="B251" s="1">
        <v>43077</v>
      </c>
      <c r="C251" t="s">
        <v>14</v>
      </c>
      <c r="D251" t="s">
        <v>15</v>
      </c>
      <c r="E251" t="s">
        <v>16</v>
      </c>
      <c r="F251" s="4">
        <v>8032</v>
      </c>
      <c r="G251">
        <v>-3.83</v>
      </c>
      <c r="H251">
        <v>41.75</v>
      </c>
      <c r="I251">
        <v>1.85</v>
      </c>
      <c r="J251">
        <v>1872.21</v>
      </c>
      <c r="K251">
        <v>-15.37</v>
      </c>
      <c r="L251">
        <v>0.28999999999999998</v>
      </c>
      <c r="M251">
        <v>0</v>
      </c>
      <c r="N251">
        <v>0</v>
      </c>
    </row>
    <row r="252" spans="1:14" x14ac:dyDescent="0.25">
      <c r="A252">
        <v>82</v>
      </c>
      <c r="B252" s="1">
        <v>43151</v>
      </c>
      <c r="C252" t="s">
        <v>14</v>
      </c>
      <c r="D252" t="s">
        <v>15</v>
      </c>
      <c r="E252" t="s">
        <v>16</v>
      </c>
      <c r="F252" s="4">
        <v>7955</v>
      </c>
      <c r="G252">
        <v>1.1000000000000001</v>
      </c>
      <c r="H252">
        <v>44.92</v>
      </c>
      <c r="I252">
        <v>2.4500000000000002</v>
      </c>
      <c r="J252">
        <v>1267.96</v>
      </c>
      <c r="K252">
        <v>-11.82</v>
      </c>
      <c r="L252">
        <v>0.56999999999999995</v>
      </c>
      <c r="M252">
        <v>0</v>
      </c>
      <c r="N252">
        <v>0</v>
      </c>
    </row>
    <row r="253" spans="1:14" x14ac:dyDescent="0.25">
      <c r="A253">
        <v>84</v>
      </c>
      <c r="B253" s="1">
        <v>43153</v>
      </c>
      <c r="C253" t="s">
        <v>14</v>
      </c>
      <c r="D253" t="s">
        <v>15</v>
      </c>
      <c r="E253" t="s">
        <v>16</v>
      </c>
      <c r="F253" s="4">
        <v>7712</v>
      </c>
      <c r="G253">
        <v>0.99</v>
      </c>
      <c r="H253">
        <v>56</v>
      </c>
      <c r="I253">
        <v>2.0699999999999998</v>
      </c>
      <c r="J253">
        <v>1500.17</v>
      </c>
      <c r="K253">
        <v>-6.86</v>
      </c>
      <c r="L253">
        <v>0.39</v>
      </c>
      <c r="M253">
        <v>0</v>
      </c>
      <c r="N253">
        <v>0</v>
      </c>
    </row>
    <row r="254" spans="1:14" x14ac:dyDescent="0.25">
      <c r="A254">
        <v>98</v>
      </c>
      <c r="B254" s="1">
        <v>43167</v>
      </c>
      <c r="C254" t="s">
        <v>17</v>
      </c>
      <c r="D254" t="s">
        <v>15</v>
      </c>
      <c r="E254" t="s">
        <v>16</v>
      </c>
      <c r="F254" s="4">
        <v>7711</v>
      </c>
      <c r="G254">
        <v>4.7300000000000004</v>
      </c>
      <c r="H254">
        <v>77.790000000000006</v>
      </c>
      <c r="I254">
        <v>2.0299999999999998</v>
      </c>
      <c r="J254">
        <v>826.25</v>
      </c>
      <c r="K254">
        <v>0.98</v>
      </c>
      <c r="L254">
        <v>0.43</v>
      </c>
      <c r="M254">
        <v>4.5</v>
      </c>
      <c r="N254">
        <v>0</v>
      </c>
    </row>
    <row r="255" spans="1:14" x14ac:dyDescent="0.25">
      <c r="A255">
        <v>29</v>
      </c>
      <c r="B255" s="1">
        <v>43098</v>
      </c>
      <c r="C255" t="s">
        <v>14</v>
      </c>
      <c r="D255" t="s">
        <v>15</v>
      </c>
      <c r="E255" t="s">
        <v>16</v>
      </c>
      <c r="F255" s="4">
        <v>7663</v>
      </c>
      <c r="G255">
        <v>2.2000000000000002</v>
      </c>
      <c r="H255">
        <v>65</v>
      </c>
      <c r="I255">
        <v>1.18</v>
      </c>
      <c r="J255">
        <v>523.63</v>
      </c>
      <c r="K255">
        <v>-3.75</v>
      </c>
      <c r="L255">
        <v>0.16</v>
      </c>
      <c r="M255">
        <v>0</v>
      </c>
      <c r="N255">
        <v>0</v>
      </c>
    </row>
    <row r="256" spans="1:14" x14ac:dyDescent="0.25">
      <c r="A256">
        <v>81</v>
      </c>
      <c r="B256" s="1">
        <v>43150</v>
      </c>
      <c r="C256" t="s">
        <v>14</v>
      </c>
      <c r="D256" t="s">
        <v>15</v>
      </c>
      <c r="E256" t="s">
        <v>16</v>
      </c>
      <c r="F256" s="4">
        <v>7604</v>
      </c>
      <c r="G256">
        <v>1.73</v>
      </c>
      <c r="H256">
        <v>46.5</v>
      </c>
      <c r="I256">
        <v>1.5</v>
      </c>
      <c r="J256">
        <v>1269.29</v>
      </c>
      <c r="K256">
        <v>-8.74</v>
      </c>
      <c r="L256">
        <v>0.42</v>
      </c>
      <c r="M256">
        <v>0</v>
      </c>
      <c r="N256">
        <v>0</v>
      </c>
    </row>
    <row r="257" spans="1:14" x14ac:dyDescent="0.25">
      <c r="A257">
        <v>83</v>
      </c>
      <c r="B257" s="1">
        <v>43152</v>
      </c>
      <c r="C257" t="s">
        <v>14</v>
      </c>
      <c r="D257" t="s">
        <v>15</v>
      </c>
      <c r="E257" t="s">
        <v>16</v>
      </c>
      <c r="F257" s="4">
        <v>7491</v>
      </c>
      <c r="G257">
        <v>-0.92</v>
      </c>
      <c r="H257">
        <v>30</v>
      </c>
      <c r="I257">
        <v>2.34</v>
      </c>
      <c r="J257">
        <v>1972.13</v>
      </c>
      <c r="K257">
        <v>-17.43</v>
      </c>
      <c r="L257">
        <v>0.64</v>
      </c>
      <c r="M257">
        <v>0</v>
      </c>
      <c r="N257">
        <v>0</v>
      </c>
    </row>
    <row r="258" spans="1:14" x14ac:dyDescent="0.25">
      <c r="A258">
        <v>50</v>
      </c>
      <c r="B258" s="1">
        <v>43119</v>
      </c>
      <c r="C258" t="s">
        <v>14</v>
      </c>
      <c r="D258" t="s">
        <v>15</v>
      </c>
      <c r="E258" t="s">
        <v>16</v>
      </c>
      <c r="F258" s="4">
        <v>7472</v>
      </c>
      <c r="G258">
        <v>1.05</v>
      </c>
      <c r="H258">
        <v>40.880000000000003</v>
      </c>
      <c r="I258">
        <v>1.65</v>
      </c>
      <c r="J258">
        <v>1484.38</v>
      </c>
      <c r="K258">
        <v>-11.28</v>
      </c>
      <c r="L258">
        <v>0.27</v>
      </c>
      <c r="M258">
        <v>0</v>
      </c>
      <c r="N258">
        <v>0</v>
      </c>
    </row>
    <row r="259" spans="1:14" x14ac:dyDescent="0.25">
      <c r="A259">
        <v>153</v>
      </c>
      <c r="B259" s="1">
        <v>43222</v>
      </c>
      <c r="C259" t="s">
        <v>17</v>
      </c>
      <c r="D259" t="s">
        <v>15</v>
      </c>
      <c r="E259" t="s">
        <v>16</v>
      </c>
      <c r="F259" s="4">
        <v>7448</v>
      </c>
      <c r="G259">
        <v>16.07</v>
      </c>
      <c r="H259">
        <v>88.96</v>
      </c>
      <c r="I259">
        <v>1.86</v>
      </c>
      <c r="J259">
        <v>490.5</v>
      </c>
      <c r="K259">
        <v>14.15</v>
      </c>
      <c r="L259">
        <v>0.1</v>
      </c>
      <c r="M259">
        <v>12</v>
      </c>
      <c r="N259">
        <v>0</v>
      </c>
    </row>
    <row r="260" spans="1:14" x14ac:dyDescent="0.25">
      <c r="A260">
        <v>111</v>
      </c>
      <c r="B260" s="1">
        <v>43180</v>
      </c>
      <c r="C260" t="s">
        <v>17</v>
      </c>
      <c r="D260" t="s">
        <v>15</v>
      </c>
      <c r="E260" t="s">
        <v>16</v>
      </c>
      <c r="F260" s="4">
        <v>7384</v>
      </c>
      <c r="G260">
        <v>2.13</v>
      </c>
      <c r="H260">
        <v>59.63</v>
      </c>
      <c r="I260">
        <v>1.75</v>
      </c>
      <c r="J260">
        <v>1783.88</v>
      </c>
      <c r="K260">
        <v>-5.66</v>
      </c>
      <c r="L260">
        <v>0.26</v>
      </c>
      <c r="M260">
        <v>1</v>
      </c>
      <c r="N260">
        <v>0</v>
      </c>
    </row>
    <row r="261" spans="1:14" x14ac:dyDescent="0.25">
      <c r="A261">
        <v>9</v>
      </c>
      <c r="B261" s="1">
        <v>43078</v>
      </c>
      <c r="C261" t="s">
        <v>14</v>
      </c>
      <c r="D261" t="s">
        <v>15</v>
      </c>
      <c r="E261" t="s">
        <v>16</v>
      </c>
      <c r="F261" s="4">
        <v>7233</v>
      </c>
      <c r="G261">
        <v>-0.85</v>
      </c>
      <c r="H261">
        <v>46</v>
      </c>
      <c r="I261">
        <v>1.08</v>
      </c>
      <c r="J261">
        <v>1860.96</v>
      </c>
      <c r="K261">
        <v>-11.23</v>
      </c>
      <c r="L261">
        <v>0.26</v>
      </c>
      <c r="M261">
        <v>0</v>
      </c>
      <c r="N261">
        <v>0</v>
      </c>
    </row>
    <row r="262" spans="1:14" x14ac:dyDescent="0.25">
      <c r="A262">
        <v>3</v>
      </c>
      <c r="B262" s="1">
        <v>43072</v>
      </c>
      <c r="C262" t="s">
        <v>14</v>
      </c>
      <c r="D262" t="s">
        <v>15</v>
      </c>
      <c r="E262" t="s">
        <v>16</v>
      </c>
      <c r="F262" s="4">
        <v>7222</v>
      </c>
      <c r="G262">
        <v>4.88</v>
      </c>
      <c r="H262">
        <v>81.540000000000006</v>
      </c>
      <c r="I262">
        <v>1.61</v>
      </c>
      <c r="J262">
        <v>455.75</v>
      </c>
      <c r="K262">
        <v>1.88</v>
      </c>
      <c r="L262">
        <v>0.13</v>
      </c>
      <c r="M262">
        <v>4</v>
      </c>
      <c r="N262">
        <v>0</v>
      </c>
    </row>
    <row r="263" spans="1:14" x14ac:dyDescent="0.25">
      <c r="A263">
        <v>15</v>
      </c>
      <c r="B263" s="1">
        <v>43084</v>
      </c>
      <c r="C263" t="s">
        <v>14</v>
      </c>
      <c r="D263" t="s">
        <v>15</v>
      </c>
      <c r="E263" t="s">
        <v>16</v>
      </c>
      <c r="F263" s="4">
        <v>7198</v>
      </c>
      <c r="G263">
        <v>-3.28</v>
      </c>
      <c r="H263">
        <v>50.46</v>
      </c>
      <c r="I263">
        <v>0.98</v>
      </c>
      <c r="J263">
        <v>1000.21</v>
      </c>
      <c r="K263">
        <v>-12.33</v>
      </c>
      <c r="L263">
        <v>0.1</v>
      </c>
      <c r="M263">
        <v>0</v>
      </c>
      <c r="N263">
        <v>0</v>
      </c>
    </row>
    <row r="264" spans="1:14" x14ac:dyDescent="0.25">
      <c r="A264">
        <v>22</v>
      </c>
      <c r="B264" s="1">
        <v>43091</v>
      </c>
      <c r="C264" t="s">
        <v>14</v>
      </c>
      <c r="D264" t="s">
        <v>3</v>
      </c>
      <c r="E264" t="s">
        <v>16</v>
      </c>
      <c r="F264" s="4">
        <v>7184</v>
      </c>
      <c r="G264">
        <v>2.76</v>
      </c>
      <c r="H264">
        <v>67.08</v>
      </c>
      <c r="I264">
        <v>1</v>
      </c>
      <c r="J264">
        <v>802.75</v>
      </c>
      <c r="K264">
        <v>-2.84</v>
      </c>
      <c r="L264">
        <v>0.14000000000000001</v>
      </c>
      <c r="M264">
        <v>0</v>
      </c>
      <c r="N264">
        <v>7.7</v>
      </c>
    </row>
    <row r="265" spans="1:14" x14ac:dyDescent="0.25">
      <c r="A265">
        <v>135</v>
      </c>
      <c r="B265" s="1">
        <v>43204</v>
      </c>
      <c r="C265" t="s">
        <v>17</v>
      </c>
      <c r="D265" t="s">
        <v>15</v>
      </c>
      <c r="E265" t="s">
        <v>16</v>
      </c>
      <c r="F265" s="4">
        <v>6980</v>
      </c>
      <c r="G265">
        <v>9.59</v>
      </c>
      <c r="H265">
        <v>75.17</v>
      </c>
      <c r="I265">
        <v>1.83</v>
      </c>
      <c r="J265">
        <v>1388.79</v>
      </c>
      <c r="K265">
        <v>4.47</v>
      </c>
      <c r="L265">
        <v>0.15</v>
      </c>
      <c r="M265">
        <v>9</v>
      </c>
      <c r="N265">
        <v>0</v>
      </c>
    </row>
    <row r="266" spans="1:14" x14ac:dyDescent="0.25">
      <c r="A266">
        <v>36</v>
      </c>
      <c r="B266" s="1">
        <v>43105</v>
      </c>
      <c r="C266" t="s">
        <v>14</v>
      </c>
      <c r="D266" t="s">
        <v>15</v>
      </c>
      <c r="E266" t="s">
        <v>16</v>
      </c>
      <c r="F266" s="4">
        <v>6967</v>
      </c>
      <c r="G266">
        <v>-2.91</v>
      </c>
      <c r="H266">
        <v>48.54</v>
      </c>
      <c r="I266">
        <v>1.66</v>
      </c>
      <c r="J266">
        <v>1434.21</v>
      </c>
      <c r="K266">
        <v>-12.34</v>
      </c>
      <c r="L266">
        <v>0.25</v>
      </c>
      <c r="M266">
        <v>0</v>
      </c>
      <c r="N266">
        <v>0</v>
      </c>
    </row>
    <row r="267" spans="1:14" x14ac:dyDescent="0.25">
      <c r="A267">
        <v>143</v>
      </c>
      <c r="B267" s="1">
        <v>43212</v>
      </c>
      <c r="C267" t="s">
        <v>17</v>
      </c>
      <c r="D267" t="s">
        <v>15</v>
      </c>
      <c r="E267" t="s">
        <v>16</v>
      </c>
      <c r="F267" s="4">
        <v>6852</v>
      </c>
      <c r="G267">
        <v>16.03</v>
      </c>
      <c r="H267">
        <v>52.54</v>
      </c>
      <c r="I267">
        <v>1.07</v>
      </c>
      <c r="J267">
        <v>1578.92</v>
      </c>
      <c r="K267">
        <v>5.46</v>
      </c>
      <c r="L267">
        <v>0.21</v>
      </c>
      <c r="M267">
        <v>13.5</v>
      </c>
      <c r="N267">
        <v>0</v>
      </c>
    </row>
    <row r="268" spans="1:14" x14ac:dyDescent="0.25">
      <c r="A268">
        <v>76</v>
      </c>
      <c r="B268" s="1">
        <v>43145</v>
      </c>
      <c r="C268" t="s">
        <v>14</v>
      </c>
      <c r="D268" t="s">
        <v>15</v>
      </c>
      <c r="E268" t="s">
        <v>16</v>
      </c>
      <c r="F268" s="4">
        <v>6771</v>
      </c>
      <c r="G268">
        <v>3.6</v>
      </c>
      <c r="H268">
        <v>53.79</v>
      </c>
      <c r="I268">
        <v>2.4300000000000002</v>
      </c>
      <c r="J268">
        <v>1380.54</v>
      </c>
      <c r="K268">
        <v>-5.45</v>
      </c>
      <c r="L268">
        <v>0.28999999999999998</v>
      </c>
      <c r="M268">
        <v>0</v>
      </c>
      <c r="N268">
        <v>0</v>
      </c>
    </row>
    <row r="269" spans="1:14" x14ac:dyDescent="0.25">
      <c r="A269">
        <v>47</v>
      </c>
      <c r="B269" s="1">
        <v>43116</v>
      </c>
      <c r="C269" t="s">
        <v>14</v>
      </c>
      <c r="D269" t="s">
        <v>15</v>
      </c>
      <c r="E269" t="s">
        <v>16</v>
      </c>
      <c r="F269" s="4">
        <v>6705</v>
      </c>
      <c r="G269">
        <v>3.28</v>
      </c>
      <c r="H269">
        <v>59.46</v>
      </c>
      <c r="I269">
        <v>0.76</v>
      </c>
      <c r="J269">
        <v>428.54</v>
      </c>
      <c r="K269">
        <v>-3.98</v>
      </c>
      <c r="L269">
        <v>0.1</v>
      </c>
      <c r="M269">
        <v>0</v>
      </c>
      <c r="N269">
        <v>0</v>
      </c>
    </row>
    <row r="270" spans="1:14" x14ac:dyDescent="0.25">
      <c r="A270">
        <v>6</v>
      </c>
      <c r="B270" s="1">
        <v>43075</v>
      </c>
      <c r="C270" t="s">
        <v>14</v>
      </c>
      <c r="D270" t="s">
        <v>15</v>
      </c>
      <c r="E270" t="s">
        <v>16</v>
      </c>
      <c r="F270" s="4">
        <v>6669</v>
      </c>
      <c r="G270">
        <v>0.05</v>
      </c>
      <c r="H270">
        <v>70.790000000000006</v>
      </c>
      <c r="I270">
        <v>0.7</v>
      </c>
      <c r="J270">
        <v>1186.8800000000001</v>
      </c>
      <c r="K270">
        <v>-5.19</v>
      </c>
      <c r="L270">
        <v>0.26</v>
      </c>
      <c r="M270">
        <v>1.3</v>
      </c>
      <c r="N270">
        <v>8.6</v>
      </c>
    </row>
    <row r="271" spans="1:14" x14ac:dyDescent="0.25">
      <c r="A271">
        <v>129</v>
      </c>
      <c r="B271" s="1">
        <v>43198</v>
      </c>
      <c r="C271" t="s">
        <v>17</v>
      </c>
      <c r="D271" t="s">
        <v>15</v>
      </c>
      <c r="E271" t="s">
        <v>16</v>
      </c>
      <c r="F271" s="4">
        <v>6666</v>
      </c>
      <c r="G271">
        <v>3.81</v>
      </c>
      <c r="H271">
        <v>56.96</v>
      </c>
      <c r="I271">
        <v>1.73</v>
      </c>
      <c r="J271">
        <v>1578.92</v>
      </c>
      <c r="K271">
        <v>-4.8600000000000003</v>
      </c>
      <c r="L271">
        <v>0.33</v>
      </c>
      <c r="M271">
        <v>3</v>
      </c>
      <c r="N271">
        <v>0</v>
      </c>
    </row>
    <row r="272" spans="1:14" x14ac:dyDescent="0.25">
      <c r="A272">
        <v>23</v>
      </c>
      <c r="B272" s="1">
        <v>43092</v>
      </c>
      <c r="C272" t="s">
        <v>14</v>
      </c>
      <c r="D272" t="s">
        <v>15</v>
      </c>
      <c r="E272" t="s">
        <v>16</v>
      </c>
      <c r="F272" s="4">
        <v>6624</v>
      </c>
      <c r="G272">
        <v>6.13</v>
      </c>
      <c r="H272">
        <v>75.58</v>
      </c>
      <c r="I272">
        <v>1.1599999999999999</v>
      </c>
      <c r="J272">
        <v>338.63</v>
      </c>
      <c r="K272">
        <v>2.02</v>
      </c>
      <c r="L272">
        <v>0.14000000000000001</v>
      </c>
      <c r="M272">
        <v>0</v>
      </c>
      <c r="N272">
        <v>0</v>
      </c>
    </row>
    <row r="273" spans="1:14" x14ac:dyDescent="0.25">
      <c r="A273">
        <v>28</v>
      </c>
      <c r="B273" s="1">
        <v>43097</v>
      </c>
      <c r="C273" t="s">
        <v>14</v>
      </c>
      <c r="D273" t="s">
        <v>15</v>
      </c>
      <c r="E273" t="s">
        <v>16</v>
      </c>
      <c r="F273" s="4">
        <v>6594</v>
      </c>
      <c r="G273">
        <v>-2.58</v>
      </c>
      <c r="H273">
        <v>45.04</v>
      </c>
      <c r="I273">
        <v>1.35</v>
      </c>
      <c r="J273">
        <v>1574.79</v>
      </c>
      <c r="K273">
        <v>-13.3</v>
      </c>
      <c r="L273">
        <v>0.16</v>
      </c>
      <c r="M273">
        <v>0</v>
      </c>
      <c r="N273">
        <v>0</v>
      </c>
    </row>
    <row r="274" spans="1:14" x14ac:dyDescent="0.25">
      <c r="A274">
        <v>34</v>
      </c>
      <c r="B274" s="1">
        <v>43103</v>
      </c>
      <c r="C274" t="s">
        <v>14</v>
      </c>
      <c r="D274" t="s">
        <v>15</v>
      </c>
      <c r="E274" t="s">
        <v>16</v>
      </c>
      <c r="F274" s="4">
        <v>6512</v>
      </c>
      <c r="G274">
        <v>-4.4800000000000004</v>
      </c>
      <c r="H274">
        <v>41.17</v>
      </c>
      <c r="I274">
        <v>2.13</v>
      </c>
      <c r="J274">
        <v>1945.17</v>
      </c>
      <c r="K274">
        <v>-15.88</v>
      </c>
      <c r="L274">
        <v>0.27</v>
      </c>
      <c r="M274">
        <v>0</v>
      </c>
      <c r="N274">
        <v>0</v>
      </c>
    </row>
    <row r="275" spans="1:14" x14ac:dyDescent="0.25">
      <c r="A275">
        <v>87</v>
      </c>
      <c r="B275" s="1">
        <v>43156</v>
      </c>
      <c r="C275" t="s">
        <v>14</v>
      </c>
      <c r="D275" t="s">
        <v>15</v>
      </c>
      <c r="E275" t="s">
        <v>16</v>
      </c>
      <c r="F275" s="4">
        <v>6500</v>
      </c>
      <c r="G275">
        <v>1.92</v>
      </c>
      <c r="H275">
        <v>39.29</v>
      </c>
      <c r="I275">
        <v>1.8</v>
      </c>
      <c r="J275">
        <v>1694.88</v>
      </c>
      <c r="K275">
        <v>-11.17</v>
      </c>
      <c r="L275">
        <v>0.67</v>
      </c>
      <c r="M275">
        <v>0</v>
      </c>
      <c r="N275">
        <v>0</v>
      </c>
    </row>
    <row r="276" spans="1:14" x14ac:dyDescent="0.25">
      <c r="A276">
        <v>360</v>
      </c>
      <c r="B276" s="1">
        <v>43428</v>
      </c>
      <c r="C276" t="s">
        <v>20</v>
      </c>
      <c r="D276" t="s">
        <v>15</v>
      </c>
      <c r="E276" t="s">
        <v>16</v>
      </c>
      <c r="F276" s="4">
        <v>6477</v>
      </c>
      <c r="G276">
        <v>2.4</v>
      </c>
      <c r="H276">
        <v>69.92</v>
      </c>
      <c r="I276">
        <v>1.75</v>
      </c>
      <c r="J276">
        <v>1152.92</v>
      </c>
      <c r="K276">
        <v>-3.87</v>
      </c>
      <c r="L276">
        <v>0.14000000000000001</v>
      </c>
      <c r="M276">
        <v>10.9</v>
      </c>
      <c r="N276">
        <v>78.7</v>
      </c>
    </row>
    <row r="277" spans="1:14" x14ac:dyDescent="0.25">
      <c r="A277">
        <v>35</v>
      </c>
      <c r="B277" s="1">
        <v>43104</v>
      </c>
      <c r="C277" t="s">
        <v>14</v>
      </c>
      <c r="D277" t="s">
        <v>15</v>
      </c>
      <c r="E277" t="s">
        <v>16</v>
      </c>
      <c r="F277" s="4">
        <v>6453</v>
      </c>
      <c r="G277">
        <v>-4.8</v>
      </c>
      <c r="H277">
        <v>44.13</v>
      </c>
      <c r="I277">
        <v>1.38</v>
      </c>
      <c r="J277">
        <v>1825.33</v>
      </c>
      <c r="K277">
        <v>-15.38</v>
      </c>
      <c r="L277">
        <v>0.2</v>
      </c>
      <c r="M277">
        <v>0</v>
      </c>
      <c r="N277">
        <v>0</v>
      </c>
    </row>
    <row r="278" spans="1:14" x14ac:dyDescent="0.25">
      <c r="A278">
        <v>33</v>
      </c>
      <c r="B278" s="1">
        <v>43102</v>
      </c>
      <c r="C278" t="s">
        <v>14</v>
      </c>
      <c r="D278" t="s">
        <v>15</v>
      </c>
      <c r="E278" t="s">
        <v>16</v>
      </c>
      <c r="F278" s="4">
        <v>6446</v>
      </c>
      <c r="G278">
        <v>-1.49</v>
      </c>
      <c r="H278">
        <v>43.71</v>
      </c>
      <c r="I278">
        <v>1.77</v>
      </c>
      <c r="J278">
        <v>1712.21</v>
      </c>
      <c r="K278">
        <v>-13.35</v>
      </c>
      <c r="L278">
        <v>0.22</v>
      </c>
      <c r="M278">
        <v>0</v>
      </c>
      <c r="N278">
        <v>0</v>
      </c>
    </row>
    <row r="279" spans="1:14" x14ac:dyDescent="0.25">
      <c r="A279">
        <v>167</v>
      </c>
      <c r="B279" s="1">
        <v>43236</v>
      </c>
      <c r="C279" t="s">
        <v>17</v>
      </c>
      <c r="D279" t="s">
        <v>15</v>
      </c>
      <c r="E279" t="s">
        <v>16</v>
      </c>
      <c r="F279" s="4">
        <v>6416</v>
      </c>
      <c r="G279">
        <v>22.42</v>
      </c>
      <c r="H279">
        <v>90.67</v>
      </c>
      <c r="I279">
        <v>1.8</v>
      </c>
      <c r="J279">
        <v>466.79</v>
      </c>
      <c r="K279">
        <v>20.64</v>
      </c>
      <c r="L279">
        <v>7.0000000000000007E-2</v>
      </c>
      <c r="M279">
        <v>44.5</v>
      </c>
      <c r="N279">
        <v>0</v>
      </c>
    </row>
    <row r="280" spans="1:14" x14ac:dyDescent="0.25">
      <c r="A280">
        <v>14</v>
      </c>
      <c r="B280" s="1">
        <v>43083</v>
      </c>
      <c r="C280" t="s">
        <v>14</v>
      </c>
      <c r="D280" t="s">
        <v>15</v>
      </c>
      <c r="E280" t="s">
        <v>16</v>
      </c>
      <c r="F280" s="4">
        <v>6398</v>
      </c>
      <c r="G280">
        <v>-6.87</v>
      </c>
      <c r="H280">
        <v>42.54</v>
      </c>
      <c r="I280">
        <v>0.89</v>
      </c>
      <c r="J280">
        <v>1617.17</v>
      </c>
      <c r="K280">
        <v>-17.760000000000002</v>
      </c>
      <c r="L280">
        <v>0.15</v>
      </c>
      <c r="M280">
        <v>0</v>
      </c>
      <c r="N280">
        <v>0</v>
      </c>
    </row>
    <row r="281" spans="1:14" x14ac:dyDescent="0.25">
      <c r="A281">
        <v>49</v>
      </c>
      <c r="B281" s="1">
        <v>43118</v>
      </c>
      <c r="C281" t="s">
        <v>14</v>
      </c>
      <c r="D281" t="s">
        <v>15</v>
      </c>
      <c r="E281" t="s">
        <v>16</v>
      </c>
      <c r="F281" s="4">
        <v>6383</v>
      </c>
      <c r="G281">
        <v>2.3199999999999998</v>
      </c>
      <c r="H281">
        <v>62.54</v>
      </c>
      <c r="I281">
        <v>1.88</v>
      </c>
      <c r="J281">
        <v>586.29</v>
      </c>
      <c r="K281">
        <v>-4.5999999999999996</v>
      </c>
      <c r="L281">
        <v>0.13</v>
      </c>
      <c r="M281">
        <v>0</v>
      </c>
      <c r="N281">
        <v>0</v>
      </c>
    </row>
    <row r="282" spans="1:14" x14ac:dyDescent="0.25">
      <c r="A282">
        <v>86</v>
      </c>
      <c r="B282" s="1">
        <v>43155</v>
      </c>
      <c r="C282" t="s">
        <v>14</v>
      </c>
      <c r="D282" t="s">
        <v>15</v>
      </c>
      <c r="E282" t="s">
        <v>16</v>
      </c>
      <c r="F282" s="4">
        <v>6356</v>
      </c>
      <c r="G282">
        <v>2.76</v>
      </c>
      <c r="H282">
        <v>52.67</v>
      </c>
      <c r="I282">
        <v>2.31</v>
      </c>
      <c r="J282">
        <v>963</v>
      </c>
      <c r="K282">
        <v>-7.45</v>
      </c>
      <c r="L282">
        <v>0.55000000000000004</v>
      </c>
      <c r="M282">
        <v>0</v>
      </c>
      <c r="N282">
        <v>0</v>
      </c>
    </row>
    <row r="283" spans="1:14" x14ac:dyDescent="0.25">
      <c r="A283">
        <v>46</v>
      </c>
      <c r="B283" s="1">
        <v>43115</v>
      </c>
      <c r="C283" t="s">
        <v>14</v>
      </c>
      <c r="D283" t="s">
        <v>15</v>
      </c>
      <c r="E283" t="s">
        <v>16</v>
      </c>
      <c r="F283" s="4">
        <v>6334</v>
      </c>
      <c r="G283">
        <v>4.71</v>
      </c>
      <c r="H283">
        <v>63.92</v>
      </c>
      <c r="I283">
        <v>1.48</v>
      </c>
      <c r="J283">
        <v>639.58000000000004</v>
      </c>
      <c r="K283">
        <v>-1.91</v>
      </c>
      <c r="L283">
        <v>0.19</v>
      </c>
      <c r="M283">
        <v>0.2</v>
      </c>
      <c r="N283">
        <v>0</v>
      </c>
    </row>
    <row r="284" spans="1:14" x14ac:dyDescent="0.25">
      <c r="A284">
        <v>48</v>
      </c>
      <c r="B284" s="1">
        <v>43117</v>
      </c>
      <c r="C284" t="s">
        <v>14</v>
      </c>
      <c r="D284" t="s">
        <v>15</v>
      </c>
      <c r="E284" t="s">
        <v>16</v>
      </c>
      <c r="F284" s="4">
        <v>6292</v>
      </c>
      <c r="G284">
        <v>4.55</v>
      </c>
      <c r="H284">
        <v>63.42</v>
      </c>
      <c r="I284">
        <v>1.23</v>
      </c>
      <c r="J284">
        <v>350.13</v>
      </c>
      <c r="K284">
        <v>-1.88</v>
      </c>
      <c r="L284">
        <v>0.17</v>
      </c>
      <c r="M284">
        <v>0</v>
      </c>
      <c r="N284">
        <v>0</v>
      </c>
    </row>
    <row r="285" spans="1:14" x14ac:dyDescent="0.25">
      <c r="A285">
        <v>71</v>
      </c>
      <c r="B285" s="1">
        <v>43140</v>
      </c>
      <c r="C285" t="s">
        <v>14</v>
      </c>
      <c r="D285" t="s">
        <v>15</v>
      </c>
      <c r="E285" t="s">
        <v>16</v>
      </c>
      <c r="F285" s="4">
        <v>6268</v>
      </c>
      <c r="G285">
        <v>-0.05</v>
      </c>
      <c r="H285">
        <v>42.46</v>
      </c>
      <c r="I285">
        <v>1.1000000000000001</v>
      </c>
      <c r="J285">
        <v>1181.58</v>
      </c>
      <c r="K285">
        <v>-11.8</v>
      </c>
      <c r="L285">
        <v>0.27</v>
      </c>
      <c r="M285">
        <v>0</v>
      </c>
      <c r="N285">
        <v>0</v>
      </c>
    </row>
    <row r="286" spans="1:14" x14ac:dyDescent="0.25">
      <c r="A286">
        <v>75</v>
      </c>
      <c r="B286" s="1">
        <v>43144</v>
      </c>
      <c r="C286" t="s">
        <v>14</v>
      </c>
      <c r="D286" t="s">
        <v>15</v>
      </c>
      <c r="E286" t="s">
        <v>16</v>
      </c>
      <c r="F286" s="4">
        <v>6267</v>
      </c>
      <c r="G286">
        <v>-1.33</v>
      </c>
      <c r="H286">
        <v>53.83</v>
      </c>
      <c r="I286">
        <v>2.64</v>
      </c>
      <c r="J286">
        <v>1950.38</v>
      </c>
      <c r="K286">
        <v>-9.7200000000000006</v>
      </c>
      <c r="L286">
        <v>0.56999999999999995</v>
      </c>
      <c r="M286">
        <v>0</v>
      </c>
      <c r="N286">
        <v>0</v>
      </c>
    </row>
    <row r="287" spans="1:14" x14ac:dyDescent="0.25">
      <c r="A287">
        <v>105</v>
      </c>
      <c r="B287" s="1">
        <v>43174</v>
      </c>
      <c r="C287" t="s">
        <v>17</v>
      </c>
      <c r="D287" t="s">
        <v>15</v>
      </c>
      <c r="E287" t="s">
        <v>16</v>
      </c>
      <c r="F287" s="4">
        <v>6227</v>
      </c>
      <c r="G287">
        <v>13</v>
      </c>
      <c r="H287">
        <v>91.29</v>
      </c>
      <c r="I287">
        <v>2.0099999999999998</v>
      </c>
      <c r="J287">
        <v>613.79</v>
      </c>
      <c r="K287">
        <v>11.43</v>
      </c>
      <c r="L287">
        <v>0.06</v>
      </c>
      <c r="M287">
        <v>27</v>
      </c>
      <c r="N287">
        <v>0</v>
      </c>
    </row>
    <row r="288" spans="1:14" x14ac:dyDescent="0.25">
      <c r="A288">
        <v>221</v>
      </c>
      <c r="B288" s="1">
        <v>43290</v>
      </c>
      <c r="C288" t="s">
        <v>19</v>
      </c>
      <c r="D288" t="s">
        <v>15</v>
      </c>
      <c r="E288" t="s">
        <v>16</v>
      </c>
      <c r="F288" s="4">
        <v>6191</v>
      </c>
      <c r="G288">
        <v>21.02</v>
      </c>
      <c r="H288">
        <v>79.63</v>
      </c>
      <c r="I288">
        <v>1.0900000000000001</v>
      </c>
      <c r="J288">
        <v>1718.46</v>
      </c>
      <c r="K288">
        <v>17.09</v>
      </c>
      <c r="L288">
        <v>0.17</v>
      </c>
      <c r="M288">
        <v>8.5</v>
      </c>
      <c r="N288">
        <v>0</v>
      </c>
    </row>
    <row r="289" spans="1:14" x14ac:dyDescent="0.25">
      <c r="A289">
        <v>13</v>
      </c>
      <c r="B289" s="1">
        <v>43082</v>
      </c>
      <c r="C289" t="s">
        <v>14</v>
      </c>
      <c r="D289" t="s">
        <v>15</v>
      </c>
      <c r="E289" t="s">
        <v>16</v>
      </c>
      <c r="F289" s="4">
        <v>6019</v>
      </c>
      <c r="G289">
        <v>-8.6199999999999992</v>
      </c>
      <c r="H289">
        <v>41.17</v>
      </c>
      <c r="I289">
        <v>1.79</v>
      </c>
      <c r="J289">
        <v>1954.13</v>
      </c>
      <c r="K289">
        <v>-19.88</v>
      </c>
      <c r="L289">
        <v>0.28000000000000003</v>
      </c>
      <c r="M289">
        <v>0</v>
      </c>
      <c r="N289">
        <v>0</v>
      </c>
    </row>
    <row r="290" spans="1:14" x14ac:dyDescent="0.25">
      <c r="A290">
        <v>64</v>
      </c>
      <c r="B290" s="1">
        <v>43133</v>
      </c>
      <c r="C290" t="s">
        <v>14</v>
      </c>
      <c r="D290" t="s">
        <v>15</v>
      </c>
      <c r="E290" t="s">
        <v>16</v>
      </c>
      <c r="F290" s="4">
        <v>5954</v>
      </c>
      <c r="G290">
        <v>-2.65</v>
      </c>
      <c r="H290">
        <v>48.71</v>
      </c>
      <c r="I290">
        <v>1.64</v>
      </c>
      <c r="J290">
        <v>1667.29</v>
      </c>
      <c r="K290">
        <v>-12.62</v>
      </c>
      <c r="L290">
        <v>0.3</v>
      </c>
      <c r="M290">
        <v>0</v>
      </c>
      <c r="N290">
        <v>0</v>
      </c>
    </row>
    <row r="291" spans="1:14" x14ac:dyDescent="0.25">
      <c r="A291">
        <v>11</v>
      </c>
      <c r="B291" s="1">
        <v>43080</v>
      </c>
      <c r="C291" t="s">
        <v>14</v>
      </c>
      <c r="D291" t="s">
        <v>15</v>
      </c>
      <c r="E291" t="s">
        <v>16</v>
      </c>
      <c r="F291" s="4">
        <v>5848</v>
      </c>
      <c r="G291">
        <v>-6.27</v>
      </c>
      <c r="H291">
        <v>39.380000000000003</v>
      </c>
      <c r="I291">
        <v>3.61</v>
      </c>
      <c r="J291">
        <v>1991.17</v>
      </c>
      <c r="K291">
        <v>-17.98</v>
      </c>
      <c r="L291">
        <v>0.28999999999999998</v>
      </c>
      <c r="M291">
        <v>0</v>
      </c>
      <c r="N291">
        <v>0</v>
      </c>
    </row>
    <row r="292" spans="1:14" x14ac:dyDescent="0.25">
      <c r="A292">
        <v>85</v>
      </c>
      <c r="B292" s="1">
        <v>43154</v>
      </c>
      <c r="C292" t="s">
        <v>14</v>
      </c>
      <c r="D292" t="s">
        <v>15</v>
      </c>
      <c r="E292" t="s">
        <v>16</v>
      </c>
      <c r="F292" s="4">
        <v>5797</v>
      </c>
      <c r="G292">
        <v>3.95</v>
      </c>
      <c r="H292">
        <v>80.92</v>
      </c>
      <c r="I292">
        <v>1.92</v>
      </c>
      <c r="J292">
        <v>249.79</v>
      </c>
      <c r="K292">
        <v>0.72</v>
      </c>
      <c r="L292">
        <v>0.39</v>
      </c>
      <c r="M292">
        <v>4.0999999999999996</v>
      </c>
      <c r="N292">
        <v>44.7</v>
      </c>
    </row>
    <row r="293" spans="1:14" x14ac:dyDescent="0.25">
      <c r="A293">
        <v>21</v>
      </c>
      <c r="B293" s="1">
        <v>43090</v>
      </c>
      <c r="C293" t="s">
        <v>14</v>
      </c>
      <c r="D293" t="s">
        <v>15</v>
      </c>
      <c r="E293" t="s">
        <v>16</v>
      </c>
      <c r="F293" s="4">
        <v>5734</v>
      </c>
      <c r="G293">
        <v>-0.85</v>
      </c>
      <c r="H293">
        <v>73.08</v>
      </c>
      <c r="I293">
        <v>1.22</v>
      </c>
      <c r="J293">
        <v>730.38</v>
      </c>
      <c r="K293">
        <v>-5.48</v>
      </c>
      <c r="L293">
        <v>0.26</v>
      </c>
      <c r="M293">
        <v>0</v>
      </c>
      <c r="N293">
        <v>38.9</v>
      </c>
    </row>
    <row r="294" spans="1:14" x14ac:dyDescent="0.25">
      <c r="A294">
        <v>39</v>
      </c>
      <c r="B294" s="1">
        <v>43108</v>
      </c>
      <c r="C294" t="s">
        <v>14</v>
      </c>
      <c r="D294" t="s">
        <v>15</v>
      </c>
      <c r="E294" t="s">
        <v>16</v>
      </c>
      <c r="F294" s="4">
        <v>5711</v>
      </c>
      <c r="G294">
        <v>1.42</v>
      </c>
      <c r="H294">
        <v>49.33</v>
      </c>
      <c r="I294">
        <v>1.75</v>
      </c>
      <c r="J294">
        <v>1148.96</v>
      </c>
      <c r="K294">
        <v>-8.6</v>
      </c>
      <c r="L294">
        <v>0.1</v>
      </c>
      <c r="M294">
        <v>0.9</v>
      </c>
      <c r="N294">
        <v>4.5</v>
      </c>
    </row>
    <row r="295" spans="1:14" x14ac:dyDescent="0.25">
      <c r="A295">
        <v>70</v>
      </c>
      <c r="B295" s="1">
        <v>43139</v>
      </c>
      <c r="C295" t="s">
        <v>14</v>
      </c>
      <c r="D295" t="s">
        <v>15</v>
      </c>
      <c r="E295" t="s">
        <v>16</v>
      </c>
      <c r="F295" s="4">
        <v>5613</v>
      </c>
      <c r="G295">
        <v>-4.59</v>
      </c>
      <c r="H295">
        <v>44.75</v>
      </c>
      <c r="I295">
        <v>1.2</v>
      </c>
      <c r="J295">
        <v>1643.88</v>
      </c>
      <c r="K295">
        <v>-15.51</v>
      </c>
      <c r="L295">
        <v>0.54</v>
      </c>
      <c r="M295">
        <v>0</v>
      </c>
      <c r="N295">
        <v>0</v>
      </c>
    </row>
    <row r="296" spans="1:14" x14ac:dyDescent="0.25">
      <c r="A296">
        <v>26</v>
      </c>
      <c r="B296" s="1">
        <v>43095</v>
      </c>
      <c r="C296" t="s">
        <v>14</v>
      </c>
      <c r="D296" t="s">
        <v>15</v>
      </c>
      <c r="E296" t="s">
        <v>16</v>
      </c>
      <c r="F296" s="4">
        <v>5605</v>
      </c>
      <c r="G296">
        <v>-3.27</v>
      </c>
      <c r="H296">
        <v>43.58</v>
      </c>
      <c r="I296">
        <v>2.86</v>
      </c>
      <c r="J296">
        <v>1960.29</v>
      </c>
      <c r="K296">
        <v>-15.37</v>
      </c>
      <c r="L296">
        <v>0.28000000000000003</v>
      </c>
      <c r="M296">
        <v>0</v>
      </c>
      <c r="N296">
        <v>0</v>
      </c>
    </row>
    <row r="297" spans="1:14" x14ac:dyDescent="0.25">
      <c r="A297">
        <v>51</v>
      </c>
      <c r="B297" s="1">
        <v>43120</v>
      </c>
      <c r="C297" t="s">
        <v>14</v>
      </c>
      <c r="D297" t="s">
        <v>15</v>
      </c>
      <c r="E297" t="s">
        <v>16</v>
      </c>
      <c r="F297" s="4">
        <v>5576</v>
      </c>
      <c r="G297">
        <v>2.2599999999999998</v>
      </c>
      <c r="H297">
        <v>58.46</v>
      </c>
      <c r="I297">
        <v>1.57</v>
      </c>
      <c r="J297">
        <v>791.96</v>
      </c>
      <c r="K297">
        <v>-5.0999999999999996</v>
      </c>
      <c r="L297">
        <v>0.19</v>
      </c>
      <c r="M297">
        <v>0</v>
      </c>
      <c r="N297">
        <v>0</v>
      </c>
    </row>
    <row r="298" spans="1:14" x14ac:dyDescent="0.25">
      <c r="A298">
        <v>40</v>
      </c>
      <c r="B298" s="1">
        <v>43109</v>
      </c>
      <c r="C298" t="s">
        <v>14</v>
      </c>
      <c r="D298" t="s">
        <v>15</v>
      </c>
      <c r="E298" t="s">
        <v>16</v>
      </c>
      <c r="F298" s="4">
        <v>5500</v>
      </c>
      <c r="G298">
        <v>-3.87</v>
      </c>
      <c r="H298">
        <v>58.58</v>
      </c>
      <c r="I298">
        <v>2.98</v>
      </c>
      <c r="J298">
        <v>1495.96</v>
      </c>
      <c r="K298">
        <v>-10.89</v>
      </c>
      <c r="L298">
        <v>0.23</v>
      </c>
      <c r="M298">
        <v>0</v>
      </c>
      <c r="N298">
        <v>10.8</v>
      </c>
    </row>
    <row r="299" spans="1:14" x14ac:dyDescent="0.25">
      <c r="A299">
        <v>12</v>
      </c>
      <c r="B299" s="1">
        <v>43081</v>
      </c>
      <c r="C299" t="s">
        <v>14</v>
      </c>
      <c r="D299" t="s">
        <v>15</v>
      </c>
      <c r="E299" t="s">
        <v>16</v>
      </c>
      <c r="F299" s="4">
        <v>5496</v>
      </c>
      <c r="G299">
        <v>-9.4700000000000006</v>
      </c>
      <c r="H299">
        <v>42.79</v>
      </c>
      <c r="I299">
        <v>2.0299999999999998</v>
      </c>
      <c r="J299">
        <v>1966.79</v>
      </c>
      <c r="K299">
        <v>-19.940000000000001</v>
      </c>
      <c r="L299">
        <v>0.28000000000000003</v>
      </c>
      <c r="M299">
        <v>0</v>
      </c>
      <c r="N299">
        <v>0</v>
      </c>
    </row>
    <row r="300" spans="1:14" x14ac:dyDescent="0.25">
      <c r="A300">
        <v>63</v>
      </c>
      <c r="B300" s="1">
        <v>43132</v>
      </c>
      <c r="C300" t="s">
        <v>14</v>
      </c>
      <c r="D300" t="s">
        <v>15</v>
      </c>
      <c r="E300" t="s">
        <v>16</v>
      </c>
      <c r="F300" s="4">
        <v>5377</v>
      </c>
      <c r="G300">
        <v>-3.87</v>
      </c>
      <c r="H300">
        <v>44</v>
      </c>
      <c r="I300">
        <v>1.61</v>
      </c>
      <c r="J300">
        <v>1923.63</v>
      </c>
      <c r="K300">
        <v>-15.01</v>
      </c>
      <c r="L300">
        <v>0.34</v>
      </c>
      <c r="M300">
        <v>0</v>
      </c>
      <c r="N300">
        <v>21.7</v>
      </c>
    </row>
    <row r="301" spans="1:14" x14ac:dyDescent="0.25">
      <c r="A301">
        <v>27</v>
      </c>
      <c r="B301" s="1">
        <v>43096</v>
      </c>
      <c r="C301" t="s">
        <v>14</v>
      </c>
      <c r="D301" t="s">
        <v>15</v>
      </c>
      <c r="E301" t="s">
        <v>16</v>
      </c>
      <c r="F301" s="4">
        <v>5351</v>
      </c>
      <c r="G301">
        <v>-7</v>
      </c>
      <c r="H301">
        <v>31.13</v>
      </c>
      <c r="I301">
        <v>1.95</v>
      </c>
      <c r="J301">
        <v>1996.5</v>
      </c>
      <c r="K301">
        <v>-21.57</v>
      </c>
      <c r="L301">
        <v>0.28000000000000003</v>
      </c>
      <c r="M301">
        <v>0</v>
      </c>
      <c r="N301">
        <v>0</v>
      </c>
    </row>
    <row r="302" spans="1:14" x14ac:dyDescent="0.25">
      <c r="A302">
        <v>214</v>
      </c>
      <c r="B302" s="1">
        <v>43283</v>
      </c>
      <c r="C302" t="s">
        <v>19</v>
      </c>
      <c r="D302" t="s">
        <v>15</v>
      </c>
      <c r="E302" t="s">
        <v>16</v>
      </c>
      <c r="F302" s="4">
        <v>5240</v>
      </c>
      <c r="G302">
        <v>22.44</v>
      </c>
      <c r="H302">
        <v>95.42</v>
      </c>
      <c r="I302">
        <v>0.8</v>
      </c>
      <c r="J302">
        <v>1055.46</v>
      </c>
      <c r="K302">
        <v>21.58</v>
      </c>
      <c r="L302">
        <v>0.2</v>
      </c>
      <c r="M302">
        <v>61.5</v>
      </c>
      <c r="N302">
        <v>0</v>
      </c>
    </row>
    <row r="303" spans="1:14" x14ac:dyDescent="0.25">
      <c r="A303">
        <v>208</v>
      </c>
      <c r="B303" s="1">
        <v>43277</v>
      </c>
      <c r="C303" t="s">
        <v>19</v>
      </c>
      <c r="D303" t="s">
        <v>15</v>
      </c>
      <c r="E303" t="s">
        <v>16</v>
      </c>
      <c r="F303" s="4">
        <v>5200</v>
      </c>
      <c r="G303">
        <v>22.9</v>
      </c>
      <c r="H303">
        <v>84.13</v>
      </c>
      <c r="I303">
        <v>2.23</v>
      </c>
      <c r="J303">
        <v>453.71</v>
      </c>
      <c r="K303">
        <v>19.59</v>
      </c>
      <c r="L303">
        <v>0.05</v>
      </c>
      <c r="M303">
        <v>71.5</v>
      </c>
      <c r="N303">
        <v>0</v>
      </c>
    </row>
    <row r="304" spans="1:14" x14ac:dyDescent="0.25">
      <c r="A304">
        <v>37</v>
      </c>
      <c r="B304" s="1">
        <v>43106</v>
      </c>
      <c r="C304" t="s">
        <v>14</v>
      </c>
      <c r="D304" t="s">
        <v>15</v>
      </c>
      <c r="E304" t="s">
        <v>16</v>
      </c>
      <c r="F304" s="4">
        <v>5180</v>
      </c>
      <c r="G304">
        <v>-2.75</v>
      </c>
      <c r="H304">
        <v>45.67</v>
      </c>
      <c r="I304">
        <v>1.48</v>
      </c>
      <c r="J304">
        <v>1561.83</v>
      </c>
      <c r="K304">
        <v>-13.38</v>
      </c>
      <c r="L304">
        <v>0.28000000000000003</v>
      </c>
      <c r="M304">
        <v>0</v>
      </c>
      <c r="N304">
        <v>0</v>
      </c>
    </row>
    <row r="305" spans="1:14" x14ac:dyDescent="0.25">
      <c r="A305">
        <v>91</v>
      </c>
      <c r="B305" s="1">
        <v>43160</v>
      </c>
      <c r="C305" t="s">
        <v>17</v>
      </c>
      <c r="D305" t="s">
        <v>3</v>
      </c>
      <c r="E305" t="s">
        <v>16</v>
      </c>
      <c r="F305" s="4">
        <v>5132</v>
      </c>
      <c r="G305">
        <v>0.45</v>
      </c>
      <c r="H305">
        <v>64.209999999999994</v>
      </c>
      <c r="I305">
        <v>3.55</v>
      </c>
      <c r="J305">
        <v>1084</v>
      </c>
      <c r="K305">
        <v>-6.39</v>
      </c>
      <c r="L305">
        <v>0.75</v>
      </c>
      <c r="M305">
        <v>2.5</v>
      </c>
      <c r="N305">
        <v>0</v>
      </c>
    </row>
    <row r="306" spans="1:14" x14ac:dyDescent="0.25">
      <c r="A306">
        <v>52</v>
      </c>
      <c r="B306" s="1">
        <v>43121</v>
      </c>
      <c r="C306" t="s">
        <v>14</v>
      </c>
      <c r="D306" t="s">
        <v>15</v>
      </c>
      <c r="E306" t="s">
        <v>16</v>
      </c>
      <c r="F306" s="4">
        <v>4973</v>
      </c>
      <c r="G306">
        <v>0.39</v>
      </c>
      <c r="H306">
        <v>37.58</v>
      </c>
      <c r="I306">
        <v>1.1299999999999999</v>
      </c>
      <c r="J306">
        <v>1375.75</v>
      </c>
      <c r="K306">
        <v>-13.47</v>
      </c>
      <c r="L306">
        <v>0.25</v>
      </c>
      <c r="M306">
        <v>0</v>
      </c>
      <c r="N306">
        <v>0</v>
      </c>
    </row>
    <row r="307" spans="1:14" x14ac:dyDescent="0.25">
      <c r="A307">
        <v>74</v>
      </c>
      <c r="B307" s="1">
        <v>43143</v>
      </c>
      <c r="C307" t="s">
        <v>14</v>
      </c>
      <c r="D307" t="s">
        <v>15</v>
      </c>
      <c r="E307" t="s">
        <v>16</v>
      </c>
      <c r="F307" s="4">
        <v>4813</v>
      </c>
      <c r="G307">
        <v>-5.99</v>
      </c>
      <c r="H307">
        <v>39.71</v>
      </c>
      <c r="I307">
        <v>2.78</v>
      </c>
      <c r="J307">
        <v>1934.83</v>
      </c>
      <c r="K307">
        <v>-17.899999999999999</v>
      </c>
      <c r="L307">
        <v>0.56999999999999995</v>
      </c>
      <c r="M307">
        <v>0</v>
      </c>
      <c r="N307">
        <v>0</v>
      </c>
    </row>
    <row r="308" spans="1:14" x14ac:dyDescent="0.25">
      <c r="A308">
        <v>38</v>
      </c>
      <c r="B308" s="1">
        <v>43107</v>
      </c>
      <c r="C308" t="s">
        <v>14</v>
      </c>
      <c r="D308" t="s">
        <v>15</v>
      </c>
      <c r="E308" t="s">
        <v>16</v>
      </c>
      <c r="F308" s="4">
        <v>4714</v>
      </c>
      <c r="G308">
        <v>-1.21</v>
      </c>
      <c r="H308">
        <v>43.08</v>
      </c>
      <c r="I308">
        <v>0.81</v>
      </c>
      <c r="J308">
        <v>1451.88</v>
      </c>
      <c r="K308">
        <v>-12.48</v>
      </c>
      <c r="L308">
        <v>0.16</v>
      </c>
      <c r="M308">
        <v>0</v>
      </c>
      <c r="N308">
        <v>0</v>
      </c>
    </row>
    <row r="309" spans="1:14" x14ac:dyDescent="0.25">
      <c r="A309">
        <v>69</v>
      </c>
      <c r="B309" s="1">
        <v>43138</v>
      </c>
      <c r="C309" t="s">
        <v>14</v>
      </c>
      <c r="D309" t="s">
        <v>15</v>
      </c>
      <c r="E309" t="s">
        <v>16</v>
      </c>
      <c r="F309" s="4">
        <v>4697</v>
      </c>
      <c r="G309">
        <v>-8.33</v>
      </c>
      <c r="H309">
        <v>40</v>
      </c>
      <c r="I309">
        <v>1.62</v>
      </c>
      <c r="J309">
        <v>1831</v>
      </c>
      <c r="K309">
        <v>-20.36</v>
      </c>
      <c r="L309">
        <v>0.56000000000000005</v>
      </c>
      <c r="M309">
        <v>0</v>
      </c>
      <c r="N309">
        <v>0</v>
      </c>
    </row>
    <row r="310" spans="1:14" x14ac:dyDescent="0.25">
      <c r="A310">
        <v>94</v>
      </c>
      <c r="B310" s="1">
        <v>43163</v>
      </c>
      <c r="C310" t="s">
        <v>17</v>
      </c>
      <c r="D310" t="s">
        <v>15</v>
      </c>
      <c r="E310" t="s">
        <v>16</v>
      </c>
      <c r="F310" s="4">
        <v>4688</v>
      </c>
      <c r="G310">
        <v>9.83</v>
      </c>
      <c r="H310">
        <v>89</v>
      </c>
      <c r="I310">
        <v>1.23</v>
      </c>
      <c r="J310">
        <v>582.63</v>
      </c>
      <c r="K310">
        <v>8.01</v>
      </c>
      <c r="L310">
        <v>0.16</v>
      </c>
      <c r="M310">
        <v>2.5</v>
      </c>
      <c r="N310">
        <v>0</v>
      </c>
    </row>
    <row r="311" spans="1:14" x14ac:dyDescent="0.25">
      <c r="A311">
        <v>16</v>
      </c>
      <c r="B311" s="1">
        <v>43085</v>
      </c>
      <c r="C311" t="s">
        <v>14</v>
      </c>
      <c r="D311" t="s">
        <v>15</v>
      </c>
      <c r="E311" t="s">
        <v>16</v>
      </c>
      <c r="F311" s="4">
        <v>4632</v>
      </c>
      <c r="G311">
        <v>-5.29</v>
      </c>
      <c r="H311">
        <v>46.33</v>
      </c>
      <c r="I311">
        <v>2.95</v>
      </c>
      <c r="J311">
        <v>1514.88</v>
      </c>
      <c r="K311">
        <v>-16.02</v>
      </c>
      <c r="L311">
        <v>0.27</v>
      </c>
      <c r="M311">
        <v>0</v>
      </c>
      <c r="N311">
        <v>0</v>
      </c>
    </row>
    <row r="312" spans="1:14" x14ac:dyDescent="0.25">
      <c r="A312">
        <v>20</v>
      </c>
      <c r="B312" s="1">
        <v>43089</v>
      </c>
      <c r="C312" t="s">
        <v>14</v>
      </c>
      <c r="D312" t="s">
        <v>15</v>
      </c>
      <c r="E312" t="s">
        <v>16</v>
      </c>
      <c r="F312" s="4">
        <v>4568</v>
      </c>
      <c r="G312">
        <v>-4.29</v>
      </c>
      <c r="H312">
        <v>65.5</v>
      </c>
      <c r="I312">
        <v>1.1100000000000001</v>
      </c>
      <c r="J312">
        <v>1404.71</v>
      </c>
      <c r="K312">
        <v>-10</v>
      </c>
      <c r="L312">
        <v>0.14000000000000001</v>
      </c>
      <c r="M312">
        <v>0.2</v>
      </c>
      <c r="N312">
        <v>48.3</v>
      </c>
    </row>
    <row r="313" spans="1:14" x14ac:dyDescent="0.25">
      <c r="A313">
        <v>80</v>
      </c>
      <c r="B313" s="1">
        <v>43149</v>
      </c>
      <c r="C313" t="s">
        <v>14</v>
      </c>
      <c r="D313" t="s">
        <v>15</v>
      </c>
      <c r="E313" t="s">
        <v>16</v>
      </c>
      <c r="F313" s="4">
        <v>4562</v>
      </c>
      <c r="G313">
        <v>-0.68</v>
      </c>
      <c r="H313">
        <v>26.5</v>
      </c>
      <c r="I313">
        <v>1.29</v>
      </c>
      <c r="J313">
        <v>1985.58</v>
      </c>
      <c r="K313">
        <v>-18.03</v>
      </c>
      <c r="L313">
        <v>0.47</v>
      </c>
      <c r="M313">
        <v>0</v>
      </c>
      <c r="N313">
        <v>0</v>
      </c>
    </row>
    <row r="314" spans="1:14" x14ac:dyDescent="0.25">
      <c r="A314">
        <v>309</v>
      </c>
      <c r="B314" s="1">
        <v>43378</v>
      </c>
      <c r="C314" t="s">
        <v>20</v>
      </c>
      <c r="D314" t="s">
        <v>15</v>
      </c>
      <c r="E314" t="s">
        <v>16</v>
      </c>
      <c r="F314" s="4">
        <v>4522</v>
      </c>
      <c r="G314">
        <v>17.100000000000001</v>
      </c>
      <c r="H314">
        <v>81.33</v>
      </c>
      <c r="I314">
        <v>1.77</v>
      </c>
      <c r="J314">
        <v>1318.33</v>
      </c>
      <c r="K314">
        <v>13.51</v>
      </c>
      <c r="L314">
        <v>0.11</v>
      </c>
      <c r="M314">
        <v>35.5</v>
      </c>
      <c r="N314">
        <v>0</v>
      </c>
    </row>
    <row r="315" spans="1:14" x14ac:dyDescent="0.25">
      <c r="A315">
        <v>53</v>
      </c>
      <c r="B315" s="1">
        <v>43122</v>
      </c>
      <c r="C315" t="s">
        <v>14</v>
      </c>
      <c r="D315" t="s">
        <v>15</v>
      </c>
      <c r="E315" t="s">
        <v>16</v>
      </c>
      <c r="F315" s="4">
        <v>4503</v>
      </c>
      <c r="G315">
        <v>0.44</v>
      </c>
      <c r="H315">
        <v>53.21</v>
      </c>
      <c r="I315">
        <v>1.41</v>
      </c>
      <c r="J315">
        <v>1294.5</v>
      </c>
      <c r="K315">
        <v>-9.35</v>
      </c>
      <c r="L315">
        <v>0.08</v>
      </c>
      <c r="M315">
        <v>3.3</v>
      </c>
      <c r="N315">
        <v>6.2</v>
      </c>
    </row>
    <row r="316" spans="1:14" x14ac:dyDescent="0.25">
      <c r="A316">
        <v>72</v>
      </c>
      <c r="B316" s="1">
        <v>43141</v>
      </c>
      <c r="C316" t="s">
        <v>14</v>
      </c>
      <c r="D316" t="s">
        <v>15</v>
      </c>
      <c r="E316" t="s">
        <v>16</v>
      </c>
      <c r="F316" s="4">
        <v>4425</v>
      </c>
      <c r="G316">
        <v>0.12</v>
      </c>
      <c r="H316">
        <v>49.75</v>
      </c>
      <c r="I316">
        <v>3.07</v>
      </c>
      <c r="J316">
        <v>1094.46</v>
      </c>
      <c r="K316">
        <v>-10.95</v>
      </c>
      <c r="L316">
        <v>0.39</v>
      </c>
      <c r="M316">
        <v>0</v>
      </c>
      <c r="N316">
        <v>0</v>
      </c>
    </row>
    <row r="317" spans="1:14" x14ac:dyDescent="0.25">
      <c r="A317">
        <v>19</v>
      </c>
      <c r="B317" s="1">
        <v>43088</v>
      </c>
      <c r="C317" t="s">
        <v>14</v>
      </c>
      <c r="D317" t="s">
        <v>15</v>
      </c>
      <c r="E317" t="s">
        <v>16</v>
      </c>
      <c r="F317" s="4">
        <v>4334</v>
      </c>
      <c r="G317">
        <v>-3.53</v>
      </c>
      <c r="H317">
        <v>50.21</v>
      </c>
      <c r="I317">
        <v>2.17</v>
      </c>
      <c r="J317">
        <v>1661.21</v>
      </c>
      <c r="K317">
        <v>-13.02</v>
      </c>
      <c r="L317">
        <v>0.28000000000000003</v>
      </c>
      <c r="M317">
        <v>0</v>
      </c>
      <c r="N317">
        <v>55.6</v>
      </c>
    </row>
    <row r="318" spans="1:14" x14ac:dyDescent="0.25">
      <c r="A318">
        <v>32</v>
      </c>
      <c r="B318" s="1">
        <v>43101</v>
      </c>
      <c r="C318" t="s">
        <v>14</v>
      </c>
      <c r="D318" t="s">
        <v>3</v>
      </c>
      <c r="E318" t="s">
        <v>16</v>
      </c>
      <c r="F318" s="4">
        <v>4290</v>
      </c>
      <c r="G318">
        <v>-1.28</v>
      </c>
      <c r="H318">
        <v>39.33</v>
      </c>
      <c r="I318">
        <v>1.45</v>
      </c>
      <c r="J318">
        <v>1894.83</v>
      </c>
      <c r="K318">
        <v>-13.87</v>
      </c>
      <c r="L318">
        <v>0.26</v>
      </c>
      <c r="M318">
        <v>0</v>
      </c>
      <c r="N318">
        <v>0</v>
      </c>
    </row>
    <row r="319" spans="1:14" x14ac:dyDescent="0.25">
      <c r="A319">
        <v>45</v>
      </c>
      <c r="B319" s="1">
        <v>43114</v>
      </c>
      <c r="C319" t="s">
        <v>14</v>
      </c>
      <c r="D319" t="s">
        <v>15</v>
      </c>
      <c r="E319" t="s">
        <v>16</v>
      </c>
      <c r="F319" s="4">
        <v>4225</v>
      </c>
      <c r="G319">
        <v>0.02</v>
      </c>
      <c r="H319">
        <v>65.75</v>
      </c>
      <c r="I319">
        <v>1.06</v>
      </c>
      <c r="J319">
        <v>667.88</v>
      </c>
      <c r="K319">
        <v>-5.86</v>
      </c>
      <c r="L319">
        <v>0.19</v>
      </c>
      <c r="M319">
        <v>0</v>
      </c>
      <c r="N319">
        <v>0</v>
      </c>
    </row>
    <row r="320" spans="1:14" x14ac:dyDescent="0.25">
      <c r="A320">
        <v>41</v>
      </c>
      <c r="B320" s="1">
        <v>43110</v>
      </c>
      <c r="C320" t="s">
        <v>14</v>
      </c>
      <c r="D320" t="s">
        <v>15</v>
      </c>
      <c r="E320" t="s">
        <v>16</v>
      </c>
      <c r="F320" s="4">
        <v>4161</v>
      </c>
      <c r="G320">
        <v>-7.03</v>
      </c>
      <c r="H320">
        <v>54.21</v>
      </c>
      <c r="I320">
        <v>2.93</v>
      </c>
      <c r="J320">
        <v>1860.63</v>
      </c>
      <c r="K320">
        <v>-15.21</v>
      </c>
      <c r="L320">
        <v>0.28999999999999998</v>
      </c>
      <c r="M320">
        <v>0.8</v>
      </c>
      <c r="N320">
        <v>10.199999999999999</v>
      </c>
    </row>
    <row r="321" spans="1:14" x14ac:dyDescent="0.25">
      <c r="A321">
        <v>43</v>
      </c>
      <c r="B321" s="1">
        <v>43112</v>
      </c>
      <c r="C321" t="s">
        <v>14</v>
      </c>
      <c r="D321" t="s">
        <v>15</v>
      </c>
      <c r="E321" t="s">
        <v>16</v>
      </c>
      <c r="F321" s="4">
        <v>4111</v>
      </c>
      <c r="G321">
        <v>-10.7</v>
      </c>
      <c r="H321">
        <v>36.17</v>
      </c>
      <c r="I321">
        <v>1.77</v>
      </c>
      <c r="J321">
        <v>1981.92</v>
      </c>
      <c r="K321">
        <v>-23.17</v>
      </c>
      <c r="L321">
        <v>0.3</v>
      </c>
      <c r="M321">
        <v>0</v>
      </c>
      <c r="N321">
        <v>0</v>
      </c>
    </row>
    <row r="322" spans="1:14" x14ac:dyDescent="0.25">
      <c r="A322">
        <v>60</v>
      </c>
      <c r="B322" s="1">
        <v>43129</v>
      </c>
      <c r="C322" t="s">
        <v>14</v>
      </c>
      <c r="D322" t="s">
        <v>15</v>
      </c>
      <c r="E322" t="s">
        <v>16</v>
      </c>
      <c r="F322" s="4">
        <v>4088</v>
      </c>
      <c r="G322">
        <v>-8.5299999999999994</v>
      </c>
      <c r="H322">
        <v>36.25</v>
      </c>
      <c r="I322">
        <v>2.72</v>
      </c>
      <c r="J322">
        <v>1946.08</v>
      </c>
      <c r="K322">
        <v>-21.15</v>
      </c>
      <c r="L322">
        <v>0.32</v>
      </c>
      <c r="M322">
        <v>0</v>
      </c>
      <c r="N322">
        <v>0</v>
      </c>
    </row>
    <row r="323" spans="1:14" x14ac:dyDescent="0.25">
      <c r="A323">
        <v>30</v>
      </c>
      <c r="B323" s="1">
        <v>43099</v>
      </c>
      <c r="C323" t="s">
        <v>14</v>
      </c>
      <c r="D323" t="s">
        <v>15</v>
      </c>
      <c r="E323" t="s">
        <v>16</v>
      </c>
      <c r="F323" s="4">
        <v>4027</v>
      </c>
      <c r="G323">
        <v>1.31</v>
      </c>
      <c r="H323">
        <v>77.75</v>
      </c>
      <c r="I323">
        <v>0.94</v>
      </c>
      <c r="J323">
        <v>214.29</v>
      </c>
      <c r="K323">
        <v>-2.25</v>
      </c>
      <c r="L323">
        <v>0.09</v>
      </c>
      <c r="M323">
        <v>0.5</v>
      </c>
      <c r="N323">
        <v>0</v>
      </c>
    </row>
    <row r="324" spans="1:14" x14ac:dyDescent="0.25">
      <c r="A324">
        <v>42</v>
      </c>
      <c r="B324" s="1">
        <v>43111</v>
      </c>
      <c r="C324" t="s">
        <v>14</v>
      </c>
      <c r="D324" t="s">
        <v>15</v>
      </c>
      <c r="E324" t="s">
        <v>16</v>
      </c>
      <c r="F324" s="4">
        <v>4017</v>
      </c>
      <c r="G324">
        <v>-10.77</v>
      </c>
      <c r="H324">
        <v>49.88</v>
      </c>
      <c r="I324">
        <v>2.64</v>
      </c>
      <c r="J324">
        <v>1828.13</v>
      </c>
      <c r="K324">
        <v>-19.32</v>
      </c>
      <c r="L324">
        <v>0.28000000000000003</v>
      </c>
      <c r="M324">
        <v>0</v>
      </c>
      <c r="N324">
        <v>0</v>
      </c>
    </row>
    <row r="325" spans="1:14" x14ac:dyDescent="0.25">
      <c r="A325">
        <v>68</v>
      </c>
      <c r="B325" s="1">
        <v>43137</v>
      </c>
      <c r="C325" t="s">
        <v>14</v>
      </c>
      <c r="D325" t="s">
        <v>15</v>
      </c>
      <c r="E325" t="s">
        <v>16</v>
      </c>
      <c r="F325" s="4">
        <v>3988</v>
      </c>
      <c r="G325">
        <v>-10.01</v>
      </c>
      <c r="H325">
        <v>35.54</v>
      </c>
      <c r="I325">
        <v>3.18</v>
      </c>
      <c r="J325">
        <v>1956.08</v>
      </c>
      <c r="K325">
        <v>-22.58</v>
      </c>
      <c r="L325">
        <v>0.59</v>
      </c>
      <c r="M325">
        <v>0</v>
      </c>
      <c r="N325">
        <v>0</v>
      </c>
    </row>
    <row r="326" spans="1:14" x14ac:dyDescent="0.25">
      <c r="A326">
        <v>54</v>
      </c>
      <c r="B326" s="1">
        <v>43123</v>
      </c>
      <c r="C326" t="s">
        <v>14</v>
      </c>
      <c r="D326" t="s">
        <v>15</v>
      </c>
      <c r="E326" t="s">
        <v>16</v>
      </c>
      <c r="F326" s="4">
        <v>3981</v>
      </c>
      <c r="G326">
        <v>-10.92</v>
      </c>
      <c r="H326">
        <v>44.54</v>
      </c>
      <c r="I326">
        <v>3.68</v>
      </c>
      <c r="J326">
        <v>1912.04</v>
      </c>
      <c r="K326">
        <v>-21.07</v>
      </c>
      <c r="L326">
        <v>0.32</v>
      </c>
      <c r="M326">
        <v>0</v>
      </c>
      <c r="N326">
        <v>23.3</v>
      </c>
    </row>
    <row r="327" spans="1:14" x14ac:dyDescent="0.25">
      <c r="A327">
        <v>25</v>
      </c>
      <c r="B327" s="1">
        <v>43094</v>
      </c>
      <c r="C327" t="s">
        <v>14</v>
      </c>
      <c r="D327" t="s">
        <v>3</v>
      </c>
      <c r="E327" t="s">
        <v>16</v>
      </c>
      <c r="F327" s="4">
        <v>3966</v>
      </c>
      <c r="G327">
        <v>-2.09</v>
      </c>
      <c r="H327">
        <v>43.38</v>
      </c>
      <c r="I327">
        <v>2.7</v>
      </c>
      <c r="J327">
        <v>1916.92</v>
      </c>
      <c r="K327">
        <v>-13.22</v>
      </c>
      <c r="L327">
        <v>0.28000000000000003</v>
      </c>
      <c r="M327">
        <v>0</v>
      </c>
      <c r="N327">
        <v>0</v>
      </c>
    </row>
    <row r="328" spans="1:14" x14ac:dyDescent="0.25">
      <c r="A328">
        <v>67</v>
      </c>
      <c r="B328" s="1">
        <v>43136</v>
      </c>
      <c r="C328" t="s">
        <v>14</v>
      </c>
      <c r="D328" t="s">
        <v>15</v>
      </c>
      <c r="E328" t="s">
        <v>16</v>
      </c>
      <c r="F328" s="4">
        <v>3932</v>
      </c>
      <c r="G328">
        <v>-9.4</v>
      </c>
      <c r="H328">
        <v>37.96</v>
      </c>
      <c r="I328">
        <v>3.07</v>
      </c>
      <c r="J328">
        <v>1975.29</v>
      </c>
      <c r="K328">
        <v>-21.53</v>
      </c>
      <c r="L328">
        <v>0.6</v>
      </c>
      <c r="M328">
        <v>0</v>
      </c>
      <c r="N328">
        <v>0</v>
      </c>
    </row>
    <row r="329" spans="1:14" x14ac:dyDescent="0.25">
      <c r="A329">
        <v>62</v>
      </c>
      <c r="B329" s="1">
        <v>43131</v>
      </c>
      <c r="C329" t="s">
        <v>14</v>
      </c>
      <c r="D329" t="s">
        <v>15</v>
      </c>
      <c r="E329" t="s">
        <v>16</v>
      </c>
      <c r="F329" s="4">
        <v>3830</v>
      </c>
      <c r="G329">
        <v>-2.19</v>
      </c>
      <c r="H329">
        <v>57.17</v>
      </c>
      <c r="I329">
        <v>1.71</v>
      </c>
      <c r="J329">
        <v>1545.71</v>
      </c>
      <c r="K329">
        <v>-10.38</v>
      </c>
      <c r="L329">
        <v>0.16</v>
      </c>
      <c r="M329">
        <v>0</v>
      </c>
      <c r="N329">
        <v>64.8</v>
      </c>
    </row>
    <row r="330" spans="1:14" x14ac:dyDescent="0.25">
      <c r="A330">
        <v>90</v>
      </c>
      <c r="B330" s="1">
        <v>43159</v>
      </c>
      <c r="C330" t="s">
        <v>14</v>
      </c>
      <c r="D330" t="s">
        <v>15</v>
      </c>
      <c r="E330" t="s">
        <v>16</v>
      </c>
      <c r="F330" s="4">
        <v>3820</v>
      </c>
      <c r="G330">
        <v>4.8499999999999996</v>
      </c>
      <c r="H330">
        <v>70.08</v>
      </c>
      <c r="I330">
        <v>2.1</v>
      </c>
      <c r="J330">
        <v>640</v>
      </c>
      <c r="K330">
        <v>-0.59</v>
      </c>
      <c r="L330">
        <v>7.0000000000000007E-2</v>
      </c>
      <c r="M330">
        <v>23</v>
      </c>
      <c r="N330">
        <v>0</v>
      </c>
    </row>
    <row r="331" spans="1:14" x14ac:dyDescent="0.25">
      <c r="A331">
        <v>17</v>
      </c>
      <c r="B331" s="1">
        <v>43086</v>
      </c>
      <c r="C331" t="s">
        <v>14</v>
      </c>
      <c r="D331" t="s">
        <v>15</v>
      </c>
      <c r="E331" t="s">
        <v>16</v>
      </c>
      <c r="F331" s="4">
        <v>3776</v>
      </c>
      <c r="G331">
        <v>-7.01</v>
      </c>
      <c r="H331">
        <v>37.630000000000003</v>
      </c>
      <c r="I331">
        <v>1.9</v>
      </c>
      <c r="J331">
        <v>1989.63</v>
      </c>
      <c r="K331">
        <v>-19.28</v>
      </c>
      <c r="L331">
        <v>0.27</v>
      </c>
      <c r="M331">
        <v>0</v>
      </c>
      <c r="N331">
        <v>0</v>
      </c>
    </row>
    <row r="332" spans="1:14" x14ac:dyDescent="0.25">
      <c r="A332">
        <v>168</v>
      </c>
      <c r="B332" s="1">
        <v>43237</v>
      </c>
      <c r="C332" t="s">
        <v>17</v>
      </c>
      <c r="D332" t="s">
        <v>15</v>
      </c>
      <c r="E332" t="s">
        <v>16</v>
      </c>
      <c r="F332" s="4">
        <v>3521</v>
      </c>
      <c r="G332">
        <v>21.14</v>
      </c>
      <c r="H332">
        <v>95.88</v>
      </c>
      <c r="I332">
        <v>1.17</v>
      </c>
      <c r="J332">
        <v>750.88</v>
      </c>
      <c r="K332">
        <v>20.37</v>
      </c>
      <c r="L332">
        <v>0.17</v>
      </c>
      <c r="M332">
        <v>82.5</v>
      </c>
      <c r="N332">
        <v>0</v>
      </c>
    </row>
    <row r="333" spans="1:14" x14ac:dyDescent="0.25">
      <c r="A333">
        <v>44</v>
      </c>
      <c r="B333" s="1">
        <v>43113</v>
      </c>
      <c r="C333" t="s">
        <v>14</v>
      </c>
      <c r="D333" t="s">
        <v>15</v>
      </c>
      <c r="E333" t="s">
        <v>16</v>
      </c>
      <c r="F333" s="4">
        <v>3503</v>
      </c>
      <c r="G333">
        <v>-4.5599999999999996</v>
      </c>
      <c r="H333">
        <v>63.79</v>
      </c>
      <c r="I333">
        <v>0.85</v>
      </c>
      <c r="J333">
        <v>1082.75</v>
      </c>
      <c r="K333">
        <v>-10.59</v>
      </c>
      <c r="L333">
        <v>0.12</v>
      </c>
      <c r="M333">
        <v>0.4</v>
      </c>
      <c r="N333">
        <v>2.2000000000000002</v>
      </c>
    </row>
    <row r="334" spans="1:14" x14ac:dyDescent="0.25">
      <c r="A334">
        <v>77</v>
      </c>
      <c r="B334" s="1">
        <v>43146</v>
      </c>
      <c r="C334" t="s">
        <v>14</v>
      </c>
      <c r="D334" t="s">
        <v>3</v>
      </c>
      <c r="E334" t="s">
        <v>16</v>
      </c>
      <c r="F334" s="4">
        <v>3484</v>
      </c>
      <c r="G334">
        <v>-0.45</v>
      </c>
      <c r="H334">
        <v>27.75</v>
      </c>
      <c r="I334">
        <v>2.38</v>
      </c>
      <c r="J334">
        <v>1982.75</v>
      </c>
      <c r="K334">
        <v>-17.43</v>
      </c>
      <c r="L334">
        <v>0.6</v>
      </c>
      <c r="M334">
        <v>0</v>
      </c>
      <c r="N334">
        <v>0</v>
      </c>
    </row>
    <row r="335" spans="1:14" x14ac:dyDescent="0.25">
      <c r="A335">
        <v>10</v>
      </c>
      <c r="B335" s="1">
        <v>43079</v>
      </c>
      <c r="C335" t="s">
        <v>14</v>
      </c>
      <c r="D335" t="s">
        <v>15</v>
      </c>
      <c r="E335" t="s">
        <v>16</v>
      </c>
      <c r="F335" s="4">
        <v>3453</v>
      </c>
      <c r="G335">
        <v>1.19</v>
      </c>
      <c r="H335">
        <v>69.709999999999994</v>
      </c>
      <c r="I335">
        <v>2</v>
      </c>
      <c r="J335">
        <v>1043.04</v>
      </c>
      <c r="K335">
        <v>-4.03</v>
      </c>
      <c r="L335">
        <v>0.09</v>
      </c>
      <c r="M335">
        <v>4.0999999999999996</v>
      </c>
      <c r="N335">
        <v>32.5</v>
      </c>
    </row>
    <row r="336" spans="1:14" x14ac:dyDescent="0.25">
      <c r="A336">
        <v>31</v>
      </c>
      <c r="B336" s="1">
        <v>43100</v>
      </c>
      <c r="C336" t="s">
        <v>14</v>
      </c>
      <c r="D336" t="s">
        <v>3</v>
      </c>
      <c r="E336" t="s">
        <v>16</v>
      </c>
      <c r="F336" s="4">
        <v>3423</v>
      </c>
      <c r="G336">
        <v>0.09</v>
      </c>
      <c r="H336">
        <v>59.08</v>
      </c>
      <c r="I336">
        <v>2.3199999999999998</v>
      </c>
      <c r="J336">
        <v>1120.29</v>
      </c>
      <c r="K336">
        <v>-8.33</v>
      </c>
      <c r="L336">
        <v>0.28000000000000003</v>
      </c>
      <c r="M336">
        <v>1.2</v>
      </c>
      <c r="N336">
        <v>14.3</v>
      </c>
    </row>
    <row r="337" spans="1:14" x14ac:dyDescent="0.25">
      <c r="A337">
        <v>61</v>
      </c>
      <c r="B337" s="1">
        <v>43130</v>
      </c>
      <c r="C337" t="s">
        <v>14</v>
      </c>
      <c r="D337" t="s">
        <v>15</v>
      </c>
      <c r="E337" t="s">
        <v>16</v>
      </c>
      <c r="F337" s="4">
        <v>3360</v>
      </c>
      <c r="G337">
        <v>-5.91</v>
      </c>
      <c r="H337">
        <v>58.67</v>
      </c>
      <c r="I337">
        <v>1.25</v>
      </c>
      <c r="J337">
        <v>1413.63</v>
      </c>
      <c r="K337">
        <v>-13.34</v>
      </c>
      <c r="L337">
        <v>0.23</v>
      </c>
      <c r="M337">
        <v>2.9</v>
      </c>
      <c r="N337">
        <v>19.399999999999999</v>
      </c>
    </row>
    <row r="338" spans="1:14" x14ac:dyDescent="0.25">
      <c r="A338">
        <v>65</v>
      </c>
      <c r="B338" s="1">
        <v>43134</v>
      </c>
      <c r="C338" t="s">
        <v>14</v>
      </c>
      <c r="D338" t="s">
        <v>15</v>
      </c>
      <c r="E338" t="s">
        <v>16</v>
      </c>
      <c r="F338" s="4">
        <v>3290</v>
      </c>
      <c r="G338">
        <v>-6.62</v>
      </c>
      <c r="H338">
        <v>48.92</v>
      </c>
      <c r="I338">
        <v>3.8</v>
      </c>
      <c r="J338">
        <v>1678.75</v>
      </c>
      <c r="K338">
        <v>-16.13</v>
      </c>
      <c r="L338">
        <v>0.56999999999999995</v>
      </c>
      <c r="M338">
        <v>0.5</v>
      </c>
      <c r="N338">
        <v>2.2000000000000002</v>
      </c>
    </row>
    <row r="339" spans="1:14" x14ac:dyDescent="0.25">
      <c r="A339">
        <v>213</v>
      </c>
      <c r="B339" s="1">
        <v>43282</v>
      </c>
      <c r="C339" t="s">
        <v>19</v>
      </c>
      <c r="D339" t="s">
        <v>15</v>
      </c>
      <c r="E339" t="s">
        <v>16</v>
      </c>
      <c r="F339" s="4">
        <v>3231</v>
      </c>
      <c r="G339">
        <v>22.03</v>
      </c>
      <c r="H339">
        <v>93.46</v>
      </c>
      <c r="I339">
        <v>0.78</v>
      </c>
      <c r="J339">
        <v>933.79</v>
      </c>
      <c r="K339">
        <v>20.83</v>
      </c>
      <c r="L339">
        <v>0.09</v>
      </c>
      <c r="M339">
        <v>81</v>
      </c>
      <c r="N339">
        <v>0</v>
      </c>
    </row>
    <row r="340" spans="1:14" x14ac:dyDescent="0.25">
      <c r="A340">
        <v>55</v>
      </c>
      <c r="B340" s="1">
        <v>43124</v>
      </c>
      <c r="C340" t="s">
        <v>14</v>
      </c>
      <c r="D340" t="s">
        <v>15</v>
      </c>
      <c r="E340" t="s">
        <v>16</v>
      </c>
      <c r="F340" s="4">
        <v>3154</v>
      </c>
      <c r="G340">
        <v>-14.08</v>
      </c>
      <c r="H340">
        <v>30.79</v>
      </c>
      <c r="I340">
        <v>3.4</v>
      </c>
      <c r="J340">
        <v>1986.08</v>
      </c>
      <c r="K340">
        <v>-27.75</v>
      </c>
      <c r="L340">
        <v>0.32</v>
      </c>
      <c r="M340">
        <v>0</v>
      </c>
      <c r="N340">
        <v>19.7</v>
      </c>
    </row>
    <row r="341" spans="1:14" x14ac:dyDescent="0.25">
      <c r="A341">
        <v>79</v>
      </c>
      <c r="B341" s="1">
        <v>43148</v>
      </c>
      <c r="C341" t="s">
        <v>14</v>
      </c>
      <c r="D341" t="s">
        <v>3</v>
      </c>
      <c r="E341" t="s">
        <v>16</v>
      </c>
      <c r="F341" s="4">
        <v>3118</v>
      </c>
      <c r="G341">
        <v>-2.89</v>
      </c>
      <c r="H341">
        <v>26.88</v>
      </c>
      <c r="I341">
        <v>2.72</v>
      </c>
      <c r="J341">
        <v>1973.33</v>
      </c>
      <c r="K341">
        <v>-19.989999999999998</v>
      </c>
      <c r="L341">
        <v>0.66</v>
      </c>
      <c r="M341">
        <v>0</v>
      </c>
      <c r="N341">
        <v>0</v>
      </c>
    </row>
    <row r="342" spans="1:14" x14ac:dyDescent="0.25">
      <c r="A342">
        <v>56</v>
      </c>
      <c r="B342" s="1">
        <v>43125</v>
      </c>
      <c r="C342" t="s">
        <v>14</v>
      </c>
      <c r="D342" t="s">
        <v>15</v>
      </c>
      <c r="E342" t="s">
        <v>16</v>
      </c>
      <c r="F342" s="4">
        <v>3113</v>
      </c>
      <c r="G342">
        <v>-14</v>
      </c>
      <c r="H342">
        <v>33.42</v>
      </c>
      <c r="I342">
        <v>2.87</v>
      </c>
      <c r="J342">
        <v>1996.5</v>
      </c>
      <c r="K342">
        <v>-26.77</v>
      </c>
      <c r="L342">
        <v>0.3</v>
      </c>
      <c r="M342">
        <v>0</v>
      </c>
      <c r="N342">
        <v>14.2</v>
      </c>
    </row>
    <row r="343" spans="1:14" x14ac:dyDescent="0.25">
      <c r="A343">
        <v>163</v>
      </c>
      <c r="B343" s="1">
        <v>43232</v>
      </c>
      <c r="C343" t="s">
        <v>17</v>
      </c>
      <c r="D343" t="s">
        <v>15</v>
      </c>
      <c r="E343" t="s">
        <v>16</v>
      </c>
      <c r="F343" s="4">
        <v>3034</v>
      </c>
      <c r="G343">
        <v>14.22</v>
      </c>
      <c r="H343">
        <v>85.21</v>
      </c>
      <c r="I343">
        <v>0.98</v>
      </c>
      <c r="J343">
        <v>425.04</v>
      </c>
      <c r="K343">
        <v>11.41</v>
      </c>
      <c r="L343">
        <v>0.06</v>
      </c>
      <c r="M343">
        <v>31.5</v>
      </c>
      <c r="N343">
        <v>0</v>
      </c>
    </row>
    <row r="344" spans="1:14" x14ac:dyDescent="0.25">
      <c r="A344">
        <v>57</v>
      </c>
      <c r="B344" s="1">
        <v>43126</v>
      </c>
      <c r="C344" t="s">
        <v>14</v>
      </c>
      <c r="D344" t="s">
        <v>15</v>
      </c>
      <c r="E344" t="s">
        <v>16</v>
      </c>
      <c r="F344" s="4">
        <v>2931</v>
      </c>
      <c r="G344">
        <v>-14.74</v>
      </c>
      <c r="H344">
        <v>33.92</v>
      </c>
      <c r="I344">
        <v>2.52</v>
      </c>
      <c r="J344">
        <v>1890.96</v>
      </c>
      <c r="K344">
        <v>-27.23</v>
      </c>
      <c r="L344">
        <v>0.28000000000000003</v>
      </c>
      <c r="M344">
        <v>0</v>
      </c>
      <c r="N344">
        <v>10.3</v>
      </c>
    </row>
    <row r="345" spans="1:14" x14ac:dyDescent="0.25">
      <c r="A345">
        <v>73</v>
      </c>
      <c r="B345" s="1">
        <v>43142</v>
      </c>
      <c r="C345" t="s">
        <v>14</v>
      </c>
      <c r="D345" t="s">
        <v>15</v>
      </c>
      <c r="E345" t="s">
        <v>16</v>
      </c>
      <c r="F345" s="4">
        <v>2850</v>
      </c>
      <c r="G345">
        <v>-5.99</v>
      </c>
      <c r="H345">
        <v>40.54</v>
      </c>
      <c r="I345">
        <v>2.7</v>
      </c>
      <c r="J345">
        <v>1963.79</v>
      </c>
      <c r="K345">
        <v>-17.78</v>
      </c>
      <c r="L345">
        <v>0.51</v>
      </c>
      <c r="M345">
        <v>0</v>
      </c>
      <c r="N345">
        <v>0</v>
      </c>
    </row>
    <row r="346" spans="1:14" x14ac:dyDescent="0.25">
      <c r="A346">
        <v>59</v>
      </c>
      <c r="B346" s="1">
        <v>43128</v>
      </c>
      <c r="C346" t="s">
        <v>14</v>
      </c>
      <c r="D346" t="s">
        <v>15</v>
      </c>
      <c r="E346" t="s">
        <v>16</v>
      </c>
      <c r="F346" s="4">
        <v>2828</v>
      </c>
      <c r="G346">
        <v>-6.03</v>
      </c>
      <c r="H346">
        <v>34.71</v>
      </c>
      <c r="I346">
        <v>2.63</v>
      </c>
      <c r="J346">
        <v>1928.17</v>
      </c>
      <c r="K346">
        <v>-19.45</v>
      </c>
      <c r="L346">
        <v>0.27</v>
      </c>
      <c r="M346">
        <v>0</v>
      </c>
      <c r="N346">
        <v>0</v>
      </c>
    </row>
    <row r="347" spans="1:14" x14ac:dyDescent="0.25">
      <c r="A347">
        <v>58</v>
      </c>
      <c r="B347" s="1">
        <v>43127</v>
      </c>
      <c r="C347" t="s">
        <v>14</v>
      </c>
      <c r="D347" t="s">
        <v>15</v>
      </c>
      <c r="E347" t="s">
        <v>16</v>
      </c>
      <c r="F347" s="4">
        <v>2693</v>
      </c>
      <c r="G347">
        <v>-10.43</v>
      </c>
      <c r="H347">
        <v>38.29</v>
      </c>
      <c r="I347">
        <v>1.53</v>
      </c>
      <c r="J347">
        <v>1794.54</v>
      </c>
      <c r="K347">
        <v>-22.3</v>
      </c>
      <c r="L347">
        <v>0.31</v>
      </c>
      <c r="M347">
        <v>0</v>
      </c>
      <c r="N347">
        <v>4.4000000000000004</v>
      </c>
    </row>
    <row r="348" spans="1:14" x14ac:dyDescent="0.25">
      <c r="A348">
        <v>18</v>
      </c>
      <c r="B348" s="1">
        <v>43087</v>
      </c>
      <c r="C348" t="s">
        <v>14</v>
      </c>
      <c r="D348" t="s">
        <v>15</v>
      </c>
      <c r="E348" t="s">
        <v>16</v>
      </c>
      <c r="F348" s="4">
        <v>2620</v>
      </c>
      <c r="G348">
        <v>-1.97</v>
      </c>
      <c r="H348">
        <v>77</v>
      </c>
      <c r="I348">
        <v>1.18</v>
      </c>
      <c r="J348">
        <v>629.5</v>
      </c>
      <c r="K348">
        <v>-5.55</v>
      </c>
      <c r="L348">
        <v>7.0000000000000007E-2</v>
      </c>
      <c r="M348">
        <v>3.4</v>
      </c>
      <c r="N348">
        <v>59.7</v>
      </c>
    </row>
    <row r="349" spans="1:14" x14ac:dyDescent="0.25">
      <c r="A349">
        <v>126</v>
      </c>
      <c r="B349" s="1">
        <v>43195</v>
      </c>
      <c r="C349" t="s">
        <v>17</v>
      </c>
      <c r="D349" t="s">
        <v>15</v>
      </c>
      <c r="E349" t="s">
        <v>16</v>
      </c>
      <c r="F349" s="4">
        <v>2596</v>
      </c>
      <c r="G349">
        <v>7.8</v>
      </c>
      <c r="H349">
        <v>87.33</v>
      </c>
      <c r="I349">
        <v>1.99</v>
      </c>
      <c r="J349">
        <v>1145.96</v>
      </c>
      <c r="K349">
        <v>5.58</v>
      </c>
      <c r="L349">
        <v>0.09</v>
      </c>
      <c r="M349">
        <v>10</v>
      </c>
      <c r="N349">
        <v>0</v>
      </c>
    </row>
    <row r="350" spans="1:14" x14ac:dyDescent="0.25">
      <c r="A350">
        <v>78</v>
      </c>
      <c r="B350" s="1">
        <v>43147</v>
      </c>
      <c r="C350" t="s">
        <v>14</v>
      </c>
      <c r="D350" t="s">
        <v>3</v>
      </c>
      <c r="E350" t="s">
        <v>16</v>
      </c>
      <c r="F350" s="4">
        <v>2593</v>
      </c>
      <c r="G350">
        <v>-1.0900000000000001</v>
      </c>
      <c r="H350">
        <v>40.5</v>
      </c>
      <c r="I350">
        <v>2.09</v>
      </c>
      <c r="J350">
        <v>1877.25</v>
      </c>
      <c r="K350">
        <v>-13.6</v>
      </c>
      <c r="L350">
        <v>0.59</v>
      </c>
      <c r="M350">
        <v>0</v>
      </c>
      <c r="N350">
        <v>0</v>
      </c>
    </row>
    <row r="351" spans="1:14" x14ac:dyDescent="0.25">
      <c r="A351">
        <v>66</v>
      </c>
      <c r="B351" s="1">
        <v>43135</v>
      </c>
      <c r="C351" t="s">
        <v>14</v>
      </c>
      <c r="D351" t="s">
        <v>15</v>
      </c>
      <c r="E351" t="s">
        <v>16</v>
      </c>
      <c r="F351" s="4">
        <v>2487</v>
      </c>
      <c r="G351">
        <v>-9.52</v>
      </c>
      <c r="H351">
        <v>41</v>
      </c>
      <c r="I351">
        <v>3.06</v>
      </c>
      <c r="J351">
        <v>1828.38</v>
      </c>
      <c r="K351">
        <v>-20.67</v>
      </c>
      <c r="L351">
        <v>0.56999999999999995</v>
      </c>
      <c r="M351">
        <v>0</v>
      </c>
      <c r="N351">
        <v>0</v>
      </c>
    </row>
    <row r="352" spans="1:14" x14ac:dyDescent="0.25">
      <c r="A352">
        <v>24</v>
      </c>
      <c r="B352" s="1">
        <v>43093</v>
      </c>
      <c r="C352" t="s">
        <v>14</v>
      </c>
      <c r="D352" t="s">
        <v>3</v>
      </c>
      <c r="E352" t="s">
        <v>16</v>
      </c>
      <c r="F352" s="4">
        <v>2014</v>
      </c>
      <c r="G352">
        <v>3.46</v>
      </c>
      <c r="H352">
        <v>82.79</v>
      </c>
      <c r="I352">
        <v>1.83</v>
      </c>
      <c r="J352">
        <v>359.33</v>
      </c>
      <c r="K352">
        <v>0.71</v>
      </c>
      <c r="L352">
        <v>0.03</v>
      </c>
      <c r="M352">
        <v>20</v>
      </c>
      <c r="N352">
        <v>0</v>
      </c>
    </row>
    <row r="353" spans="1:14" x14ac:dyDescent="0.25">
      <c r="A353">
        <v>344</v>
      </c>
      <c r="B353" s="1">
        <v>43412</v>
      </c>
      <c r="C353" t="s">
        <v>20</v>
      </c>
      <c r="D353" t="s">
        <v>15</v>
      </c>
      <c r="E353" t="s">
        <v>16</v>
      </c>
      <c r="F353" s="4">
        <v>1721</v>
      </c>
      <c r="G353">
        <v>11.71</v>
      </c>
      <c r="H353">
        <v>91.54</v>
      </c>
      <c r="I353">
        <v>1.88</v>
      </c>
      <c r="J353">
        <v>866.08</v>
      </c>
      <c r="K353">
        <v>10.28</v>
      </c>
      <c r="L353">
        <v>0.05</v>
      </c>
      <c r="M353">
        <v>46</v>
      </c>
      <c r="N353">
        <v>0</v>
      </c>
    </row>
    <row r="354" spans="1:14" x14ac:dyDescent="0.25">
      <c r="A354">
        <v>144</v>
      </c>
      <c r="B354" s="1">
        <v>43213</v>
      </c>
      <c r="C354" t="s">
        <v>17</v>
      </c>
      <c r="D354" t="s">
        <v>15</v>
      </c>
      <c r="E354" t="s">
        <v>16</v>
      </c>
      <c r="F354" s="4">
        <v>977</v>
      </c>
      <c r="G354">
        <v>9.43</v>
      </c>
      <c r="H354">
        <v>93.79</v>
      </c>
      <c r="I354">
        <v>2.21</v>
      </c>
      <c r="J354">
        <v>721.04</v>
      </c>
      <c r="K354">
        <v>8.42</v>
      </c>
      <c r="L354">
        <v>0.11</v>
      </c>
      <c r="M354">
        <v>61</v>
      </c>
      <c r="N354">
        <v>0</v>
      </c>
    </row>
    <row r="355" spans="1:14" x14ac:dyDescent="0.25">
      <c r="A355">
        <v>132</v>
      </c>
      <c r="B355" s="1">
        <v>43201</v>
      </c>
      <c r="C355" t="s">
        <v>17</v>
      </c>
      <c r="D355" t="s">
        <v>15</v>
      </c>
      <c r="E355" t="s">
        <v>18</v>
      </c>
      <c r="F355" s="4">
        <v>0</v>
      </c>
      <c r="G355">
        <v>12.87</v>
      </c>
      <c r="H355">
        <v>53.38</v>
      </c>
      <c r="I355">
        <v>3.01</v>
      </c>
      <c r="J355">
        <v>1331.54</v>
      </c>
      <c r="K355">
        <v>2.12</v>
      </c>
      <c r="L355">
        <v>1.04</v>
      </c>
      <c r="M355">
        <v>0</v>
      </c>
      <c r="N355">
        <v>0</v>
      </c>
    </row>
    <row r="356" spans="1:14" x14ac:dyDescent="0.25">
      <c r="A356">
        <v>161</v>
      </c>
      <c r="B356" s="1">
        <v>43230</v>
      </c>
      <c r="C356" t="s">
        <v>17</v>
      </c>
      <c r="D356" t="s">
        <v>15</v>
      </c>
      <c r="E356" t="s">
        <v>18</v>
      </c>
      <c r="F356" s="4">
        <v>0</v>
      </c>
      <c r="G356">
        <v>15.47</v>
      </c>
      <c r="H356">
        <v>65.83</v>
      </c>
      <c r="I356">
        <v>2.25</v>
      </c>
      <c r="J356">
        <v>1099.96</v>
      </c>
      <c r="K356">
        <v>8.6999999999999993</v>
      </c>
      <c r="L356">
        <v>1.1100000000000001</v>
      </c>
      <c r="M356">
        <v>0</v>
      </c>
      <c r="N356">
        <v>0</v>
      </c>
    </row>
    <row r="357" spans="1:14" x14ac:dyDescent="0.25">
      <c r="A357">
        <v>292</v>
      </c>
      <c r="B357" s="1">
        <v>43361</v>
      </c>
      <c r="C357" t="s">
        <v>20</v>
      </c>
      <c r="D357" t="s">
        <v>15</v>
      </c>
      <c r="E357" t="s">
        <v>18</v>
      </c>
      <c r="F357" s="4">
        <v>0</v>
      </c>
      <c r="G357">
        <v>21.85</v>
      </c>
      <c r="H357">
        <v>59.67</v>
      </c>
      <c r="I357">
        <v>1.33</v>
      </c>
      <c r="J357">
        <v>1819.13</v>
      </c>
      <c r="K357">
        <v>13.06</v>
      </c>
      <c r="L357">
        <v>0.66</v>
      </c>
      <c r="M357">
        <v>0</v>
      </c>
      <c r="N357">
        <v>0</v>
      </c>
    </row>
    <row r="358" spans="1:14" x14ac:dyDescent="0.25">
      <c r="A358">
        <v>293</v>
      </c>
      <c r="B358" s="1">
        <v>43362</v>
      </c>
      <c r="C358" t="s">
        <v>20</v>
      </c>
      <c r="D358" t="s">
        <v>15</v>
      </c>
      <c r="E358" t="s">
        <v>18</v>
      </c>
      <c r="F358" s="4">
        <v>0</v>
      </c>
      <c r="G358">
        <v>22.2</v>
      </c>
      <c r="H358">
        <v>59.75</v>
      </c>
      <c r="I358">
        <v>0.95</v>
      </c>
      <c r="J358">
        <v>1729.21</v>
      </c>
      <c r="K358">
        <v>13.59</v>
      </c>
      <c r="L358">
        <v>0.44</v>
      </c>
      <c r="M358">
        <v>0.2</v>
      </c>
      <c r="N358">
        <v>0</v>
      </c>
    </row>
    <row r="359" spans="1:14" x14ac:dyDescent="0.25">
      <c r="A359">
        <v>302</v>
      </c>
      <c r="B359" s="1">
        <v>43371</v>
      </c>
      <c r="C359" t="s">
        <v>20</v>
      </c>
      <c r="D359" t="s">
        <v>15</v>
      </c>
      <c r="E359" t="s">
        <v>18</v>
      </c>
      <c r="F359" s="4">
        <v>0</v>
      </c>
      <c r="G359">
        <v>17.53</v>
      </c>
      <c r="H359">
        <v>57.29</v>
      </c>
      <c r="I359">
        <v>1.3</v>
      </c>
      <c r="J359">
        <v>1999.33</v>
      </c>
      <c r="K359">
        <v>8.83</v>
      </c>
      <c r="L359">
        <v>0.37</v>
      </c>
      <c r="M359">
        <v>0</v>
      </c>
      <c r="N359">
        <v>0</v>
      </c>
    </row>
    <row r="360" spans="1:14" x14ac:dyDescent="0.25">
      <c r="A360">
        <v>304</v>
      </c>
      <c r="B360" s="1">
        <v>43373</v>
      </c>
      <c r="C360" t="s">
        <v>20</v>
      </c>
      <c r="D360" t="s">
        <v>15</v>
      </c>
      <c r="E360" t="s">
        <v>18</v>
      </c>
      <c r="F360" s="4">
        <v>0</v>
      </c>
      <c r="G360">
        <v>17.920000000000002</v>
      </c>
      <c r="H360">
        <v>53.79</v>
      </c>
      <c r="I360">
        <v>2.0299999999999998</v>
      </c>
      <c r="J360">
        <v>1928.25</v>
      </c>
      <c r="K360">
        <v>7.6</v>
      </c>
      <c r="L360">
        <v>0.71</v>
      </c>
      <c r="M360">
        <v>0</v>
      </c>
      <c r="N360">
        <v>0</v>
      </c>
    </row>
    <row r="361" spans="1:14" x14ac:dyDescent="0.25">
      <c r="A361">
        <v>306</v>
      </c>
      <c r="B361" s="1">
        <v>43375</v>
      </c>
      <c r="C361" t="s">
        <v>20</v>
      </c>
      <c r="D361" t="s">
        <v>15</v>
      </c>
      <c r="E361" t="s">
        <v>18</v>
      </c>
      <c r="F361" s="4">
        <v>0</v>
      </c>
      <c r="G361">
        <v>15.78</v>
      </c>
      <c r="H361">
        <v>60.79</v>
      </c>
      <c r="I361">
        <v>1.63</v>
      </c>
      <c r="J361">
        <v>1843.71</v>
      </c>
      <c r="K361">
        <v>7.54</v>
      </c>
      <c r="L361">
        <v>0.79</v>
      </c>
      <c r="M361">
        <v>0</v>
      </c>
      <c r="N361">
        <v>0</v>
      </c>
    </row>
    <row r="362" spans="1:14" x14ac:dyDescent="0.25">
      <c r="A362">
        <v>308</v>
      </c>
      <c r="B362" s="1">
        <v>43377</v>
      </c>
      <c r="C362" t="s">
        <v>20</v>
      </c>
      <c r="D362" t="s">
        <v>15</v>
      </c>
      <c r="E362" t="s">
        <v>18</v>
      </c>
      <c r="F362" s="4">
        <v>0</v>
      </c>
      <c r="G362">
        <v>18.899999999999999</v>
      </c>
      <c r="H362">
        <v>56.83</v>
      </c>
      <c r="I362">
        <v>1.29</v>
      </c>
      <c r="J362">
        <v>1956.13</v>
      </c>
      <c r="K362">
        <v>9.59</v>
      </c>
      <c r="L362">
        <v>0.66</v>
      </c>
      <c r="M362">
        <v>0</v>
      </c>
      <c r="N362">
        <v>0</v>
      </c>
    </row>
    <row r="363" spans="1:14" x14ac:dyDescent="0.25">
      <c r="A363">
        <v>310</v>
      </c>
      <c r="B363" s="1">
        <v>43379</v>
      </c>
      <c r="C363" t="s">
        <v>20</v>
      </c>
      <c r="D363" t="s">
        <v>15</v>
      </c>
      <c r="E363" t="s">
        <v>18</v>
      </c>
      <c r="F363" s="4">
        <v>0</v>
      </c>
      <c r="G363">
        <v>16.7</v>
      </c>
      <c r="H363">
        <v>91.29</v>
      </c>
      <c r="I363">
        <v>2.54</v>
      </c>
      <c r="J363">
        <v>1359</v>
      </c>
      <c r="K363">
        <v>15.2</v>
      </c>
      <c r="L363">
        <v>0</v>
      </c>
      <c r="M363">
        <v>21</v>
      </c>
      <c r="N363">
        <v>0</v>
      </c>
    </row>
    <row r="364" spans="1:14" x14ac:dyDescent="0.25">
      <c r="A364">
        <v>314</v>
      </c>
      <c r="B364" s="1">
        <v>43382</v>
      </c>
      <c r="C364" t="s">
        <v>20</v>
      </c>
      <c r="D364" t="s">
        <v>3</v>
      </c>
      <c r="E364" t="s">
        <v>18</v>
      </c>
      <c r="F364" s="4">
        <v>0</v>
      </c>
      <c r="G364">
        <v>15</v>
      </c>
      <c r="H364">
        <v>52.63</v>
      </c>
      <c r="I364">
        <v>1.1399999999999999</v>
      </c>
      <c r="J364">
        <v>1992.58</v>
      </c>
      <c r="K364">
        <v>5.01</v>
      </c>
      <c r="L364">
        <v>0.37</v>
      </c>
      <c r="M364">
        <v>0</v>
      </c>
      <c r="N364">
        <v>0</v>
      </c>
    </row>
    <row r="365" spans="1:14" x14ac:dyDescent="0.25">
      <c r="A365">
        <v>339</v>
      </c>
      <c r="B365" s="1">
        <v>43407</v>
      </c>
      <c r="C365" t="s">
        <v>20</v>
      </c>
      <c r="D365" t="s">
        <v>15</v>
      </c>
      <c r="E365" t="s">
        <v>18</v>
      </c>
      <c r="F365" s="4">
        <v>0</v>
      </c>
      <c r="G365">
        <v>11.26</v>
      </c>
      <c r="H365">
        <v>56.46</v>
      </c>
      <c r="I365">
        <v>1.24</v>
      </c>
      <c r="J365">
        <v>1070.17</v>
      </c>
      <c r="K365">
        <v>1.94</v>
      </c>
      <c r="L365">
        <v>0.56999999999999995</v>
      </c>
      <c r="M365">
        <v>0</v>
      </c>
      <c r="N365">
        <v>0</v>
      </c>
    </row>
    <row r="366" spans="1:14" x14ac:dyDescent="0.25">
      <c r="A366">
        <v>342</v>
      </c>
      <c r="B366" s="1">
        <v>43410</v>
      </c>
      <c r="C366" t="s">
        <v>20</v>
      </c>
      <c r="D366" t="s">
        <v>15</v>
      </c>
      <c r="E366" t="s">
        <v>18</v>
      </c>
      <c r="F366" s="4">
        <v>0</v>
      </c>
      <c r="G366">
        <v>12.14</v>
      </c>
      <c r="H366">
        <v>69.790000000000006</v>
      </c>
      <c r="I366">
        <v>0.91</v>
      </c>
      <c r="J366">
        <v>409.67</v>
      </c>
      <c r="K366">
        <v>6.53</v>
      </c>
      <c r="L366">
        <v>0.33</v>
      </c>
      <c r="M366">
        <v>0</v>
      </c>
      <c r="N366">
        <v>0</v>
      </c>
    </row>
    <row r="367" spans="1:14" x14ac:dyDescent="0.25">
      <c r="A367">
        <v>345</v>
      </c>
      <c r="B367" s="1">
        <v>43413</v>
      </c>
      <c r="C367" t="s">
        <v>20</v>
      </c>
      <c r="D367" t="s">
        <v>15</v>
      </c>
      <c r="E367" t="s">
        <v>18</v>
      </c>
      <c r="F367" s="4">
        <v>0</v>
      </c>
      <c r="G367">
        <v>12.03</v>
      </c>
      <c r="H367">
        <v>70.75</v>
      </c>
      <c r="I367">
        <v>3.05</v>
      </c>
      <c r="J367">
        <v>1126.25</v>
      </c>
      <c r="K367">
        <v>6.57</v>
      </c>
      <c r="L367">
        <v>0.41</v>
      </c>
      <c r="M367">
        <v>19</v>
      </c>
      <c r="N36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7BE2-EDF1-4B91-9167-D1D8A0ABD1D9}">
  <dimension ref="B2:L370"/>
  <sheetViews>
    <sheetView showGridLines="0" zoomScale="85" zoomScaleNormal="85" workbookViewId="0">
      <selection activeCell="AA13" sqref="AA13"/>
    </sheetView>
  </sheetViews>
  <sheetFormatPr defaultRowHeight="15" x14ac:dyDescent="0.25"/>
  <cols>
    <col min="2" max="2" width="3.85546875" customWidth="1"/>
    <col min="3" max="3" width="11.28515625" bestFit="1" customWidth="1"/>
    <col min="4" max="4" width="19.28515625" bestFit="1" customWidth="1"/>
    <col min="5" max="5" width="16.42578125" bestFit="1" customWidth="1"/>
    <col min="7" max="7" width="11.28515625" bestFit="1" customWidth="1"/>
    <col min="8" max="8" width="19.28515625" bestFit="1" customWidth="1"/>
    <col min="9" max="9" width="8.5703125" customWidth="1"/>
    <col min="10" max="10" width="1.28515625" customWidth="1"/>
    <col min="11" max="11" width="11.28515625" bestFit="1" customWidth="1"/>
    <col min="12" max="12" width="22.85546875" bestFit="1" customWidth="1"/>
  </cols>
  <sheetData>
    <row r="2" spans="2:12" x14ac:dyDescent="0.25">
      <c r="B2" s="2" t="s">
        <v>21</v>
      </c>
    </row>
    <row r="4" spans="2:12" x14ac:dyDescent="0.25">
      <c r="C4" s="3" t="s">
        <v>1</v>
      </c>
      <c r="D4" t="s">
        <v>22</v>
      </c>
      <c r="F4" s="2" t="s">
        <v>24</v>
      </c>
      <c r="J4" s="2" t="s">
        <v>25</v>
      </c>
    </row>
    <row r="5" spans="2:12" x14ac:dyDescent="0.25">
      <c r="C5" s="1">
        <v>43070</v>
      </c>
      <c r="D5">
        <v>9539</v>
      </c>
    </row>
    <row r="6" spans="2:12" x14ac:dyDescent="0.25">
      <c r="C6" s="1">
        <v>43071</v>
      </c>
      <c r="D6">
        <v>8523</v>
      </c>
      <c r="G6" s="3" t="s">
        <v>2</v>
      </c>
      <c r="H6" t="s">
        <v>22</v>
      </c>
      <c r="K6" s="3" t="s">
        <v>2</v>
      </c>
      <c r="L6" t="s">
        <v>26</v>
      </c>
    </row>
    <row r="7" spans="2:12" x14ac:dyDescent="0.25">
      <c r="C7" s="1">
        <v>43072</v>
      </c>
      <c r="D7">
        <v>7222</v>
      </c>
      <c r="G7" t="s">
        <v>19</v>
      </c>
      <c r="H7">
        <v>2283234</v>
      </c>
      <c r="K7" t="s">
        <v>19</v>
      </c>
      <c r="L7">
        <v>24817.760869565216</v>
      </c>
    </row>
    <row r="8" spans="2:12" x14ac:dyDescent="0.25">
      <c r="C8" s="1">
        <v>43073</v>
      </c>
      <c r="D8">
        <v>8729</v>
      </c>
      <c r="G8" t="s">
        <v>20</v>
      </c>
      <c r="H8">
        <v>1790002</v>
      </c>
      <c r="K8" t="s">
        <v>20</v>
      </c>
      <c r="L8">
        <v>22098.790123456791</v>
      </c>
    </row>
    <row r="9" spans="2:12" x14ac:dyDescent="0.25">
      <c r="C9" s="1">
        <v>43074</v>
      </c>
      <c r="D9">
        <v>8307</v>
      </c>
      <c r="G9" t="s">
        <v>17</v>
      </c>
      <c r="H9">
        <v>1611909</v>
      </c>
      <c r="K9" t="s">
        <v>17</v>
      </c>
      <c r="L9">
        <v>17910.099999999999</v>
      </c>
    </row>
    <row r="10" spans="2:12" x14ac:dyDescent="0.25">
      <c r="C10" s="1">
        <v>43075</v>
      </c>
      <c r="D10">
        <v>6669</v>
      </c>
      <c r="G10" t="s">
        <v>14</v>
      </c>
      <c r="H10">
        <v>487169</v>
      </c>
      <c r="K10" t="s">
        <v>14</v>
      </c>
      <c r="L10">
        <v>5412.9888888888891</v>
      </c>
    </row>
    <row r="11" spans="2:12" x14ac:dyDescent="0.25">
      <c r="C11" s="1">
        <v>43076</v>
      </c>
      <c r="D11">
        <v>8549</v>
      </c>
      <c r="G11" t="s">
        <v>23</v>
      </c>
      <c r="H11">
        <v>6172314</v>
      </c>
      <c r="K11" t="s">
        <v>23</v>
      </c>
      <c r="L11">
        <v>17485.308781869688</v>
      </c>
    </row>
    <row r="12" spans="2:12" x14ac:dyDescent="0.25">
      <c r="C12" s="1">
        <v>43077</v>
      </c>
      <c r="D12">
        <v>8032</v>
      </c>
    </row>
    <row r="13" spans="2:12" x14ac:dyDescent="0.25">
      <c r="C13" s="1">
        <v>43078</v>
      </c>
      <c r="D13">
        <v>7233</v>
      </c>
    </row>
    <row r="14" spans="2:12" x14ac:dyDescent="0.25">
      <c r="C14" s="1">
        <v>43079</v>
      </c>
      <c r="D14">
        <v>3453</v>
      </c>
    </row>
    <row r="15" spans="2:12" x14ac:dyDescent="0.25">
      <c r="C15" s="1">
        <v>43080</v>
      </c>
      <c r="D15">
        <v>5848</v>
      </c>
    </row>
    <row r="16" spans="2:12" x14ac:dyDescent="0.25">
      <c r="C16" s="1">
        <v>43081</v>
      </c>
      <c r="D16">
        <v>5496</v>
      </c>
    </row>
    <row r="17" spans="3:4" x14ac:dyDescent="0.25">
      <c r="C17" s="1">
        <v>43082</v>
      </c>
      <c r="D17">
        <v>6019</v>
      </c>
    </row>
    <row r="18" spans="3:4" x14ac:dyDescent="0.25">
      <c r="C18" s="1">
        <v>43083</v>
      </c>
      <c r="D18">
        <v>6398</v>
      </c>
    </row>
    <row r="19" spans="3:4" x14ac:dyDescent="0.25">
      <c r="C19" s="1">
        <v>43084</v>
      </c>
      <c r="D19">
        <v>7198</v>
      </c>
    </row>
    <row r="20" spans="3:4" x14ac:dyDescent="0.25">
      <c r="C20" s="1">
        <v>43085</v>
      </c>
      <c r="D20">
        <v>4632</v>
      </c>
    </row>
    <row r="21" spans="3:4" x14ac:dyDescent="0.25">
      <c r="C21" s="1">
        <v>43086</v>
      </c>
      <c r="D21">
        <v>3776</v>
      </c>
    </row>
    <row r="22" spans="3:4" x14ac:dyDescent="0.25">
      <c r="C22" s="1">
        <v>43087</v>
      </c>
      <c r="D22">
        <v>2620</v>
      </c>
    </row>
    <row r="23" spans="3:4" x14ac:dyDescent="0.25">
      <c r="C23" s="1">
        <v>43088</v>
      </c>
      <c r="D23">
        <v>4334</v>
      </c>
    </row>
    <row r="24" spans="3:4" x14ac:dyDescent="0.25">
      <c r="C24" s="1">
        <v>43089</v>
      </c>
      <c r="D24">
        <v>4568</v>
      </c>
    </row>
    <row r="25" spans="3:4" x14ac:dyDescent="0.25">
      <c r="C25" s="1">
        <v>43090</v>
      </c>
      <c r="D25">
        <v>5734</v>
      </c>
    </row>
    <row r="26" spans="3:4" x14ac:dyDescent="0.25">
      <c r="C26" s="1">
        <v>43091</v>
      </c>
      <c r="D26">
        <v>7184</v>
      </c>
    </row>
    <row r="27" spans="3:4" x14ac:dyDescent="0.25">
      <c r="C27" s="1">
        <v>43092</v>
      </c>
      <c r="D27">
        <v>6624</v>
      </c>
    </row>
    <row r="28" spans="3:4" x14ac:dyDescent="0.25">
      <c r="C28" s="1">
        <v>43093</v>
      </c>
      <c r="D28">
        <v>2014</v>
      </c>
    </row>
    <row r="29" spans="3:4" x14ac:dyDescent="0.25">
      <c r="C29" s="1">
        <v>43094</v>
      </c>
      <c r="D29">
        <v>3966</v>
      </c>
    </row>
    <row r="30" spans="3:4" x14ac:dyDescent="0.25">
      <c r="C30" s="1">
        <v>43095</v>
      </c>
      <c r="D30">
        <v>5605</v>
      </c>
    </row>
    <row r="31" spans="3:4" x14ac:dyDescent="0.25">
      <c r="C31" s="1">
        <v>43096</v>
      </c>
      <c r="D31">
        <v>5351</v>
      </c>
    </row>
    <row r="32" spans="3:4" x14ac:dyDescent="0.25">
      <c r="C32" s="1">
        <v>43097</v>
      </c>
      <c r="D32">
        <v>6594</v>
      </c>
    </row>
    <row r="33" spans="3:4" x14ac:dyDescent="0.25">
      <c r="C33" s="1">
        <v>43098</v>
      </c>
      <c r="D33">
        <v>7663</v>
      </c>
    </row>
    <row r="34" spans="3:4" x14ac:dyDescent="0.25">
      <c r="C34" s="1">
        <v>43099</v>
      </c>
      <c r="D34">
        <v>4027</v>
      </c>
    </row>
    <row r="35" spans="3:4" x14ac:dyDescent="0.25">
      <c r="C35" s="1">
        <v>43100</v>
      </c>
      <c r="D35">
        <v>3423</v>
      </c>
    </row>
    <row r="36" spans="3:4" x14ac:dyDescent="0.25">
      <c r="C36" s="1">
        <v>43101</v>
      </c>
      <c r="D36">
        <v>4290</v>
      </c>
    </row>
    <row r="37" spans="3:4" x14ac:dyDescent="0.25">
      <c r="C37" s="1">
        <v>43102</v>
      </c>
      <c r="D37">
        <v>6446</v>
      </c>
    </row>
    <row r="38" spans="3:4" x14ac:dyDescent="0.25">
      <c r="C38" s="1">
        <v>43103</v>
      </c>
      <c r="D38">
        <v>6512</v>
      </c>
    </row>
    <row r="39" spans="3:4" x14ac:dyDescent="0.25">
      <c r="C39" s="1">
        <v>43104</v>
      </c>
      <c r="D39">
        <v>6453</v>
      </c>
    </row>
    <row r="40" spans="3:4" x14ac:dyDescent="0.25">
      <c r="C40" s="1">
        <v>43105</v>
      </c>
      <c r="D40">
        <v>6967</v>
      </c>
    </row>
    <row r="41" spans="3:4" x14ac:dyDescent="0.25">
      <c r="C41" s="1">
        <v>43106</v>
      </c>
      <c r="D41">
        <v>5180</v>
      </c>
    </row>
    <row r="42" spans="3:4" x14ac:dyDescent="0.25">
      <c r="C42" s="1">
        <v>43107</v>
      </c>
      <c r="D42">
        <v>4714</v>
      </c>
    </row>
    <row r="43" spans="3:4" x14ac:dyDescent="0.25">
      <c r="C43" s="1">
        <v>43108</v>
      </c>
      <c r="D43">
        <v>5711</v>
      </c>
    </row>
    <row r="44" spans="3:4" x14ac:dyDescent="0.25">
      <c r="C44" s="1">
        <v>43109</v>
      </c>
      <c r="D44">
        <v>5500</v>
      </c>
    </row>
    <row r="45" spans="3:4" x14ac:dyDescent="0.25">
      <c r="C45" s="1">
        <v>43110</v>
      </c>
      <c r="D45">
        <v>4161</v>
      </c>
    </row>
    <row r="46" spans="3:4" x14ac:dyDescent="0.25">
      <c r="C46" s="1">
        <v>43111</v>
      </c>
      <c r="D46">
        <v>4017</v>
      </c>
    </row>
    <row r="47" spans="3:4" x14ac:dyDescent="0.25">
      <c r="C47" s="1">
        <v>43112</v>
      </c>
      <c r="D47">
        <v>4111</v>
      </c>
    </row>
    <row r="48" spans="3:4" x14ac:dyDescent="0.25">
      <c r="C48" s="1">
        <v>43113</v>
      </c>
      <c r="D48">
        <v>3503</v>
      </c>
    </row>
    <row r="49" spans="3:4" x14ac:dyDescent="0.25">
      <c r="C49" s="1">
        <v>43114</v>
      </c>
      <c r="D49">
        <v>4225</v>
      </c>
    </row>
    <row r="50" spans="3:4" x14ac:dyDescent="0.25">
      <c r="C50" s="1">
        <v>43115</v>
      </c>
      <c r="D50">
        <v>6334</v>
      </c>
    </row>
    <row r="51" spans="3:4" x14ac:dyDescent="0.25">
      <c r="C51" s="1">
        <v>43116</v>
      </c>
      <c r="D51">
        <v>6705</v>
      </c>
    </row>
    <row r="52" spans="3:4" x14ac:dyDescent="0.25">
      <c r="C52" s="1">
        <v>43117</v>
      </c>
      <c r="D52">
        <v>6292</v>
      </c>
    </row>
    <row r="53" spans="3:4" x14ac:dyDescent="0.25">
      <c r="C53" s="1">
        <v>43118</v>
      </c>
      <c r="D53">
        <v>6383</v>
      </c>
    </row>
    <row r="54" spans="3:4" x14ac:dyDescent="0.25">
      <c r="C54" s="1">
        <v>43119</v>
      </c>
      <c r="D54">
        <v>7472</v>
      </c>
    </row>
    <row r="55" spans="3:4" x14ac:dyDescent="0.25">
      <c r="C55" s="1">
        <v>43120</v>
      </c>
      <c r="D55">
        <v>5576</v>
      </c>
    </row>
    <row r="56" spans="3:4" x14ac:dyDescent="0.25">
      <c r="C56" s="1">
        <v>43121</v>
      </c>
      <c r="D56">
        <v>4973</v>
      </c>
    </row>
    <row r="57" spans="3:4" x14ac:dyDescent="0.25">
      <c r="C57" s="1">
        <v>43122</v>
      </c>
      <c r="D57">
        <v>4503</v>
      </c>
    </row>
    <row r="58" spans="3:4" x14ac:dyDescent="0.25">
      <c r="C58" s="1">
        <v>43123</v>
      </c>
      <c r="D58">
        <v>3981</v>
      </c>
    </row>
    <row r="59" spans="3:4" x14ac:dyDescent="0.25">
      <c r="C59" s="1">
        <v>43124</v>
      </c>
      <c r="D59">
        <v>3154</v>
      </c>
    </row>
    <row r="60" spans="3:4" x14ac:dyDescent="0.25">
      <c r="C60" s="1">
        <v>43125</v>
      </c>
      <c r="D60">
        <v>3113</v>
      </c>
    </row>
    <row r="61" spans="3:4" x14ac:dyDescent="0.25">
      <c r="C61" s="1">
        <v>43126</v>
      </c>
      <c r="D61">
        <v>2931</v>
      </c>
    </row>
    <row r="62" spans="3:4" x14ac:dyDescent="0.25">
      <c r="C62" s="1">
        <v>43127</v>
      </c>
      <c r="D62">
        <v>2693</v>
      </c>
    </row>
    <row r="63" spans="3:4" x14ac:dyDescent="0.25">
      <c r="C63" s="1">
        <v>43128</v>
      </c>
      <c r="D63">
        <v>2828</v>
      </c>
    </row>
    <row r="64" spans="3:4" x14ac:dyDescent="0.25">
      <c r="C64" s="1">
        <v>43129</v>
      </c>
      <c r="D64">
        <v>4088</v>
      </c>
    </row>
    <row r="65" spans="3:4" x14ac:dyDescent="0.25">
      <c r="C65" s="1">
        <v>43130</v>
      </c>
      <c r="D65">
        <v>3360</v>
      </c>
    </row>
    <row r="66" spans="3:4" x14ac:dyDescent="0.25">
      <c r="C66" s="1">
        <v>43131</v>
      </c>
      <c r="D66">
        <v>3830</v>
      </c>
    </row>
    <row r="67" spans="3:4" x14ac:dyDescent="0.25">
      <c r="C67" s="1">
        <v>43132</v>
      </c>
      <c r="D67">
        <v>5377</v>
      </c>
    </row>
    <row r="68" spans="3:4" x14ac:dyDescent="0.25">
      <c r="C68" s="1">
        <v>43133</v>
      </c>
      <c r="D68">
        <v>5954</v>
      </c>
    </row>
    <row r="69" spans="3:4" x14ac:dyDescent="0.25">
      <c r="C69" s="1">
        <v>43134</v>
      </c>
      <c r="D69">
        <v>3290</v>
      </c>
    </row>
    <row r="70" spans="3:4" x14ac:dyDescent="0.25">
      <c r="C70" s="1">
        <v>43135</v>
      </c>
      <c r="D70">
        <v>2487</v>
      </c>
    </row>
    <row r="71" spans="3:4" x14ac:dyDescent="0.25">
      <c r="C71" s="1">
        <v>43136</v>
      </c>
      <c r="D71">
        <v>3932</v>
      </c>
    </row>
    <row r="72" spans="3:4" x14ac:dyDescent="0.25">
      <c r="C72" s="1">
        <v>43137</v>
      </c>
      <c r="D72">
        <v>3988</v>
      </c>
    </row>
    <row r="73" spans="3:4" x14ac:dyDescent="0.25">
      <c r="C73" s="1">
        <v>43138</v>
      </c>
      <c r="D73">
        <v>4697</v>
      </c>
    </row>
    <row r="74" spans="3:4" x14ac:dyDescent="0.25">
      <c r="C74" s="1">
        <v>43139</v>
      </c>
      <c r="D74">
        <v>5613</v>
      </c>
    </row>
    <row r="75" spans="3:4" x14ac:dyDescent="0.25">
      <c r="C75" s="1">
        <v>43140</v>
      </c>
      <c r="D75">
        <v>6268</v>
      </c>
    </row>
    <row r="76" spans="3:4" x14ac:dyDescent="0.25">
      <c r="C76" s="1">
        <v>43141</v>
      </c>
      <c r="D76">
        <v>4425</v>
      </c>
    </row>
    <row r="77" spans="3:4" x14ac:dyDescent="0.25">
      <c r="C77" s="1">
        <v>43142</v>
      </c>
      <c r="D77">
        <v>2850</v>
      </c>
    </row>
    <row r="78" spans="3:4" x14ac:dyDescent="0.25">
      <c r="C78" s="1">
        <v>43143</v>
      </c>
      <c r="D78">
        <v>4813</v>
      </c>
    </row>
    <row r="79" spans="3:4" x14ac:dyDescent="0.25">
      <c r="C79" s="1">
        <v>43144</v>
      </c>
      <c r="D79">
        <v>6267</v>
      </c>
    </row>
    <row r="80" spans="3:4" x14ac:dyDescent="0.25">
      <c r="C80" s="1">
        <v>43145</v>
      </c>
      <c r="D80">
        <v>6771</v>
      </c>
    </row>
    <row r="81" spans="3:4" x14ac:dyDescent="0.25">
      <c r="C81" s="1">
        <v>43146</v>
      </c>
      <c r="D81">
        <v>3484</v>
      </c>
    </row>
    <row r="82" spans="3:4" x14ac:dyDescent="0.25">
      <c r="C82" s="1">
        <v>43147</v>
      </c>
      <c r="D82">
        <v>2593</v>
      </c>
    </row>
    <row r="83" spans="3:4" x14ac:dyDescent="0.25">
      <c r="C83" s="1">
        <v>43148</v>
      </c>
      <c r="D83">
        <v>3118</v>
      </c>
    </row>
    <row r="84" spans="3:4" x14ac:dyDescent="0.25">
      <c r="C84" s="1">
        <v>43149</v>
      </c>
      <c r="D84">
        <v>4562</v>
      </c>
    </row>
    <row r="85" spans="3:4" x14ac:dyDescent="0.25">
      <c r="C85" s="1">
        <v>43150</v>
      </c>
      <c r="D85">
        <v>7604</v>
      </c>
    </row>
    <row r="86" spans="3:4" x14ac:dyDescent="0.25">
      <c r="C86" s="1">
        <v>43151</v>
      </c>
      <c r="D86">
        <v>7955</v>
      </c>
    </row>
    <row r="87" spans="3:4" x14ac:dyDescent="0.25">
      <c r="C87" s="1">
        <v>43152</v>
      </c>
      <c r="D87">
        <v>7491</v>
      </c>
    </row>
    <row r="88" spans="3:4" x14ac:dyDescent="0.25">
      <c r="C88" s="1">
        <v>43153</v>
      </c>
      <c r="D88">
        <v>7712</v>
      </c>
    </row>
    <row r="89" spans="3:4" x14ac:dyDescent="0.25">
      <c r="C89" s="1">
        <v>43154</v>
      </c>
      <c r="D89">
        <v>5797</v>
      </c>
    </row>
    <row r="90" spans="3:4" x14ac:dyDescent="0.25">
      <c r="C90" s="1">
        <v>43155</v>
      </c>
      <c r="D90">
        <v>6356</v>
      </c>
    </row>
    <row r="91" spans="3:4" x14ac:dyDescent="0.25">
      <c r="C91" s="1">
        <v>43156</v>
      </c>
      <c r="D91">
        <v>6500</v>
      </c>
    </row>
    <row r="92" spans="3:4" x14ac:dyDescent="0.25">
      <c r="C92" s="1">
        <v>43157</v>
      </c>
      <c r="D92">
        <v>9247</v>
      </c>
    </row>
    <row r="93" spans="3:4" x14ac:dyDescent="0.25">
      <c r="C93" s="1">
        <v>43158</v>
      </c>
      <c r="D93">
        <v>8862</v>
      </c>
    </row>
    <row r="94" spans="3:4" x14ac:dyDescent="0.25">
      <c r="C94" s="1">
        <v>43159</v>
      </c>
      <c r="D94">
        <v>3820</v>
      </c>
    </row>
    <row r="95" spans="3:4" x14ac:dyDescent="0.25">
      <c r="C95" s="1">
        <v>43160</v>
      </c>
      <c r="D95">
        <v>5132</v>
      </c>
    </row>
    <row r="96" spans="3:4" x14ac:dyDescent="0.25">
      <c r="C96" s="1">
        <v>43161</v>
      </c>
      <c r="D96">
        <v>8433</v>
      </c>
    </row>
    <row r="97" spans="3:4" x14ac:dyDescent="0.25">
      <c r="C97" s="1">
        <v>43162</v>
      </c>
      <c r="D97">
        <v>12191</v>
      </c>
    </row>
    <row r="98" spans="3:4" x14ac:dyDescent="0.25">
      <c r="C98" s="1">
        <v>43163</v>
      </c>
      <c r="D98">
        <v>4688</v>
      </c>
    </row>
    <row r="99" spans="3:4" x14ac:dyDescent="0.25">
      <c r="C99" s="1">
        <v>43164</v>
      </c>
      <c r="D99">
        <v>8597</v>
      </c>
    </row>
    <row r="100" spans="3:4" x14ac:dyDescent="0.25">
      <c r="C100" s="1">
        <v>43165</v>
      </c>
      <c r="D100">
        <v>12003</v>
      </c>
    </row>
    <row r="101" spans="3:4" x14ac:dyDescent="0.25">
      <c r="C101" s="1">
        <v>43166</v>
      </c>
      <c r="D101">
        <v>11170</v>
      </c>
    </row>
    <row r="102" spans="3:4" x14ac:dyDescent="0.25">
      <c r="C102" s="1">
        <v>43167</v>
      </c>
      <c r="D102">
        <v>7711</v>
      </c>
    </row>
    <row r="103" spans="3:4" x14ac:dyDescent="0.25">
      <c r="C103" s="1">
        <v>43168</v>
      </c>
      <c r="D103">
        <v>11642</v>
      </c>
    </row>
    <row r="104" spans="3:4" x14ac:dyDescent="0.25">
      <c r="C104" s="1">
        <v>43169</v>
      </c>
      <c r="D104">
        <v>11064</v>
      </c>
    </row>
    <row r="105" spans="3:4" x14ac:dyDescent="0.25">
      <c r="C105" s="1">
        <v>43170</v>
      </c>
      <c r="D105">
        <v>11843</v>
      </c>
    </row>
    <row r="106" spans="3:4" x14ac:dyDescent="0.25">
      <c r="C106" s="1">
        <v>43171</v>
      </c>
      <c r="D106">
        <v>13339</v>
      </c>
    </row>
    <row r="107" spans="3:4" x14ac:dyDescent="0.25">
      <c r="C107" s="1">
        <v>43172</v>
      </c>
      <c r="D107">
        <v>15963</v>
      </c>
    </row>
    <row r="108" spans="3:4" x14ac:dyDescent="0.25">
      <c r="C108" s="1">
        <v>43173</v>
      </c>
      <c r="D108">
        <v>19180</v>
      </c>
    </row>
    <row r="109" spans="3:4" x14ac:dyDescent="0.25">
      <c r="C109" s="1">
        <v>43174</v>
      </c>
      <c r="D109">
        <v>6227</v>
      </c>
    </row>
    <row r="110" spans="3:4" x14ac:dyDescent="0.25">
      <c r="C110" s="1">
        <v>43175</v>
      </c>
      <c r="D110">
        <v>15277</v>
      </c>
    </row>
    <row r="111" spans="3:4" x14ac:dyDescent="0.25">
      <c r="C111" s="1">
        <v>43176</v>
      </c>
      <c r="D111">
        <v>15389</v>
      </c>
    </row>
    <row r="112" spans="3:4" x14ac:dyDescent="0.25">
      <c r="C112" s="1">
        <v>43177</v>
      </c>
      <c r="D112">
        <v>9609</v>
      </c>
    </row>
    <row r="113" spans="3:4" x14ac:dyDescent="0.25">
      <c r="C113" s="1">
        <v>43178</v>
      </c>
      <c r="D113">
        <v>8968</v>
      </c>
    </row>
    <row r="114" spans="3:4" x14ac:dyDescent="0.25">
      <c r="C114" s="1">
        <v>43179</v>
      </c>
      <c r="D114">
        <v>11515</v>
      </c>
    </row>
    <row r="115" spans="3:4" x14ac:dyDescent="0.25">
      <c r="C115" s="1">
        <v>43180</v>
      </c>
      <c r="D115">
        <v>7384</v>
      </c>
    </row>
    <row r="116" spans="3:4" x14ac:dyDescent="0.25">
      <c r="C116" s="1">
        <v>43181</v>
      </c>
      <c r="D116">
        <v>14007</v>
      </c>
    </row>
    <row r="117" spans="3:4" x14ac:dyDescent="0.25">
      <c r="C117" s="1">
        <v>43182</v>
      </c>
      <c r="D117">
        <v>14969</v>
      </c>
    </row>
    <row r="118" spans="3:4" x14ac:dyDescent="0.25">
      <c r="C118" s="1">
        <v>43183</v>
      </c>
      <c r="D118">
        <v>12243</v>
      </c>
    </row>
    <row r="119" spans="3:4" x14ac:dyDescent="0.25">
      <c r="C119" s="1">
        <v>43184</v>
      </c>
      <c r="D119">
        <v>10963</v>
      </c>
    </row>
    <row r="120" spans="3:4" x14ac:dyDescent="0.25">
      <c r="C120" s="1">
        <v>43185</v>
      </c>
      <c r="D120">
        <v>13084</v>
      </c>
    </row>
    <row r="121" spans="3:4" x14ac:dyDescent="0.25">
      <c r="C121" s="1">
        <v>43186</v>
      </c>
      <c r="D121">
        <v>14710</v>
      </c>
    </row>
    <row r="122" spans="3:4" x14ac:dyDescent="0.25">
      <c r="C122" s="1">
        <v>43187</v>
      </c>
      <c r="D122">
        <v>17295</v>
      </c>
    </row>
    <row r="123" spans="3:4" x14ac:dyDescent="0.25">
      <c r="C123" s="1">
        <v>43188</v>
      </c>
      <c r="D123">
        <v>17450</v>
      </c>
    </row>
    <row r="124" spans="3:4" x14ac:dyDescent="0.25">
      <c r="C124" s="1">
        <v>43189</v>
      </c>
      <c r="D124">
        <v>19301</v>
      </c>
    </row>
    <row r="125" spans="3:4" x14ac:dyDescent="0.25">
      <c r="C125" s="1">
        <v>43190</v>
      </c>
      <c r="D125">
        <v>19247</v>
      </c>
    </row>
    <row r="126" spans="3:4" x14ac:dyDescent="0.25">
      <c r="C126" s="1">
        <v>43191</v>
      </c>
      <c r="D126">
        <v>17388</v>
      </c>
    </row>
    <row r="127" spans="3:4" x14ac:dyDescent="0.25">
      <c r="C127" s="1">
        <v>43192</v>
      </c>
      <c r="D127">
        <v>21585</v>
      </c>
    </row>
    <row r="128" spans="3:4" x14ac:dyDescent="0.25">
      <c r="C128" s="1">
        <v>43193</v>
      </c>
      <c r="D128">
        <v>21015</v>
      </c>
    </row>
    <row r="129" spans="3:4" x14ac:dyDescent="0.25">
      <c r="C129" s="1">
        <v>43194</v>
      </c>
      <c r="D129">
        <v>19995</v>
      </c>
    </row>
    <row r="130" spans="3:4" x14ac:dyDescent="0.25">
      <c r="C130" s="1">
        <v>43195</v>
      </c>
      <c r="D130">
        <v>2596</v>
      </c>
    </row>
    <row r="131" spans="3:4" x14ac:dyDescent="0.25">
      <c r="C131" s="1">
        <v>43196</v>
      </c>
      <c r="D131">
        <v>11520</v>
      </c>
    </row>
    <row r="132" spans="3:4" x14ac:dyDescent="0.25">
      <c r="C132" s="1">
        <v>43197</v>
      </c>
      <c r="D132">
        <v>11159</v>
      </c>
    </row>
    <row r="133" spans="3:4" x14ac:dyDescent="0.25">
      <c r="C133" s="1">
        <v>43198</v>
      </c>
      <c r="D133">
        <v>6666</v>
      </c>
    </row>
    <row r="134" spans="3:4" x14ac:dyDescent="0.25">
      <c r="C134" s="1">
        <v>43199</v>
      </c>
      <c r="D134">
        <v>19082</v>
      </c>
    </row>
    <row r="135" spans="3:4" x14ac:dyDescent="0.25">
      <c r="C135" s="1">
        <v>43200</v>
      </c>
      <c r="D135">
        <v>16696</v>
      </c>
    </row>
    <row r="136" spans="3:4" x14ac:dyDescent="0.25">
      <c r="C136" s="1">
        <v>43201</v>
      </c>
    </row>
    <row r="137" spans="3:4" x14ac:dyDescent="0.25">
      <c r="C137" s="1">
        <v>43202</v>
      </c>
      <c r="D137">
        <v>22729</v>
      </c>
    </row>
    <row r="138" spans="3:4" x14ac:dyDescent="0.25">
      <c r="C138" s="1">
        <v>43203</v>
      </c>
      <c r="D138">
        <v>23240</v>
      </c>
    </row>
    <row r="139" spans="3:4" x14ac:dyDescent="0.25">
      <c r="C139" s="1">
        <v>43204</v>
      </c>
      <c r="D139">
        <v>6980</v>
      </c>
    </row>
    <row r="140" spans="3:4" x14ac:dyDescent="0.25">
      <c r="C140" s="1">
        <v>43205</v>
      </c>
      <c r="D140">
        <v>10207</v>
      </c>
    </row>
    <row r="141" spans="3:4" x14ac:dyDescent="0.25">
      <c r="C141" s="1">
        <v>43206</v>
      </c>
      <c r="D141">
        <v>23198</v>
      </c>
    </row>
    <row r="142" spans="3:4" x14ac:dyDescent="0.25">
      <c r="C142" s="1">
        <v>43207</v>
      </c>
      <c r="D142">
        <v>22234</v>
      </c>
    </row>
    <row r="143" spans="3:4" x14ac:dyDescent="0.25">
      <c r="C143" s="1">
        <v>43208</v>
      </c>
      <c r="D143">
        <v>21670</v>
      </c>
    </row>
    <row r="144" spans="3:4" x14ac:dyDescent="0.25">
      <c r="C144" s="1">
        <v>43209</v>
      </c>
      <c r="D144">
        <v>17730</v>
      </c>
    </row>
    <row r="145" spans="3:4" x14ac:dyDescent="0.25">
      <c r="C145" s="1">
        <v>43210</v>
      </c>
      <c r="D145">
        <v>22593</v>
      </c>
    </row>
    <row r="146" spans="3:4" x14ac:dyDescent="0.25">
      <c r="C146" s="1">
        <v>43211</v>
      </c>
      <c r="D146">
        <v>24404</v>
      </c>
    </row>
    <row r="147" spans="3:4" x14ac:dyDescent="0.25">
      <c r="C147" s="1">
        <v>43212</v>
      </c>
      <c r="D147">
        <v>6852</v>
      </c>
    </row>
    <row r="148" spans="3:4" x14ac:dyDescent="0.25">
      <c r="C148" s="1">
        <v>43213</v>
      </c>
      <c r="D148">
        <v>977</v>
      </c>
    </row>
    <row r="149" spans="3:4" x14ac:dyDescent="0.25">
      <c r="C149" s="1">
        <v>43214</v>
      </c>
      <c r="D149">
        <v>20144</v>
      </c>
    </row>
    <row r="150" spans="3:4" x14ac:dyDescent="0.25">
      <c r="C150" s="1">
        <v>43215</v>
      </c>
      <c r="D150">
        <v>26285</v>
      </c>
    </row>
    <row r="151" spans="3:4" x14ac:dyDescent="0.25">
      <c r="C151" s="1">
        <v>43216</v>
      </c>
      <c r="D151">
        <v>25670</v>
      </c>
    </row>
    <row r="152" spans="3:4" x14ac:dyDescent="0.25">
      <c r="C152" s="1">
        <v>43217</v>
      </c>
      <c r="D152">
        <v>25861</v>
      </c>
    </row>
    <row r="153" spans="3:4" x14ac:dyDescent="0.25">
      <c r="C153" s="1">
        <v>43218</v>
      </c>
      <c r="D153">
        <v>24940</v>
      </c>
    </row>
    <row r="154" spans="3:4" x14ac:dyDescent="0.25">
      <c r="C154" s="1">
        <v>43219</v>
      </c>
      <c r="D154">
        <v>25349</v>
      </c>
    </row>
    <row r="155" spans="3:4" x14ac:dyDescent="0.25">
      <c r="C155" s="1">
        <v>43220</v>
      </c>
      <c r="D155">
        <v>25462</v>
      </c>
    </row>
    <row r="156" spans="3:4" x14ac:dyDescent="0.25">
      <c r="C156" s="1">
        <v>43221</v>
      </c>
      <c r="D156">
        <v>26820</v>
      </c>
    </row>
    <row r="157" spans="3:4" x14ac:dyDescent="0.25">
      <c r="C157" s="1">
        <v>43222</v>
      </c>
      <c r="D157">
        <v>7448</v>
      </c>
    </row>
    <row r="158" spans="3:4" x14ac:dyDescent="0.25">
      <c r="C158" s="1">
        <v>43223</v>
      </c>
      <c r="D158">
        <v>21027</v>
      </c>
    </row>
    <row r="159" spans="3:4" x14ac:dyDescent="0.25">
      <c r="C159" s="1">
        <v>43224</v>
      </c>
      <c r="D159">
        <v>26670</v>
      </c>
    </row>
    <row r="160" spans="3:4" x14ac:dyDescent="0.25">
      <c r="C160" s="1">
        <v>43225</v>
      </c>
      <c r="D160">
        <v>25353</v>
      </c>
    </row>
    <row r="161" spans="3:4" x14ac:dyDescent="0.25">
      <c r="C161" s="1">
        <v>43226</v>
      </c>
      <c r="D161">
        <v>14556</v>
      </c>
    </row>
    <row r="162" spans="3:4" x14ac:dyDescent="0.25">
      <c r="C162" s="1">
        <v>43227</v>
      </c>
      <c r="D162">
        <v>28140</v>
      </c>
    </row>
    <row r="163" spans="3:4" x14ac:dyDescent="0.25">
      <c r="C163" s="1">
        <v>43228</v>
      </c>
      <c r="D163">
        <v>26429</v>
      </c>
    </row>
    <row r="164" spans="3:4" x14ac:dyDescent="0.25">
      <c r="C164" s="1">
        <v>43229</v>
      </c>
      <c r="D164">
        <v>28895</v>
      </c>
    </row>
    <row r="165" spans="3:4" x14ac:dyDescent="0.25">
      <c r="C165" s="1">
        <v>43230</v>
      </c>
    </row>
    <row r="166" spans="3:4" x14ac:dyDescent="0.25">
      <c r="C166" s="1">
        <v>43231</v>
      </c>
      <c r="D166">
        <v>26649</v>
      </c>
    </row>
    <row r="167" spans="3:4" x14ac:dyDescent="0.25">
      <c r="C167" s="1">
        <v>43232</v>
      </c>
      <c r="D167">
        <v>3034</v>
      </c>
    </row>
    <row r="168" spans="3:4" x14ac:dyDescent="0.25">
      <c r="C168" s="1">
        <v>43233</v>
      </c>
      <c r="D168">
        <v>25913</v>
      </c>
    </row>
    <row r="169" spans="3:4" x14ac:dyDescent="0.25">
      <c r="C169" s="1">
        <v>43234</v>
      </c>
      <c r="D169">
        <v>27793</v>
      </c>
    </row>
    <row r="170" spans="3:4" x14ac:dyDescent="0.25">
      <c r="C170" s="1">
        <v>43235</v>
      </c>
      <c r="D170">
        <v>28478</v>
      </c>
    </row>
    <row r="171" spans="3:4" x14ac:dyDescent="0.25">
      <c r="C171" s="1">
        <v>43236</v>
      </c>
      <c r="D171">
        <v>6416</v>
      </c>
    </row>
    <row r="172" spans="3:4" x14ac:dyDescent="0.25">
      <c r="C172" s="1">
        <v>43237</v>
      </c>
      <c r="D172">
        <v>3521</v>
      </c>
    </row>
    <row r="173" spans="3:4" x14ac:dyDescent="0.25">
      <c r="C173" s="1">
        <v>43238</v>
      </c>
      <c r="D173">
        <v>16087</v>
      </c>
    </row>
    <row r="174" spans="3:4" x14ac:dyDescent="0.25">
      <c r="C174" s="1">
        <v>43239</v>
      </c>
      <c r="D174">
        <v>30994</v>
      </c>
    </row>
    <row r="175" spans="3:4" x14ac:dyDescent="0.25">
      <c r="C175" s="1">
        <v>43240</v>
      </c>
      <c r="D175">
        <v>27829</v>
      </c>
    </row>
    <row r="176" spans="3:4" x14ac:dyDescent="0.25">
      <c r="C176" s="1">
        <v>43241</v>
      </c>
      <c r="D176">
        <v>31236</v>
      </c>
    </row>
    <row r="177" spans="3:4" x14ac:dyDescent="0.25">
      <c r="C177" s="1">
        <v>43242</v>
      </c>
      <c r="D177">
        <v>13790</v>
      </c>
    </row>
    <row r="178" spans="3:4" x14ac:dyDescent="0.25">
      <c r="C178" s="1">
        <v>43243</v>
      </c>
      <c r="D178">
        <v>27674</v>
      </c>
    </row>
    <row r="179" spans="3:4" x14ac:dyDescent="0.25">
      <c r="C179" s="1">
        <v>43244</v>
      </c>
      <c r="D179">
        <v>28781</v>
      </c>
    </row>
    <row r="180" spans="3:4" x14ac:dyDescent="0.25">
      <c r="C180" s="1">
        <v>43245</v>
      </c>
      <c r="D180">
        <v>29057</v>
      </c>
    </row>
    <row r="181" spans="3:4" x14ac:dyDescent="0.25">
      <c r="C181" s="1">
        <v>43246</v>
      </c>
      <c r="D181">
        <v>28079</v>
      </c>
    </row>
    <row r="182" spans="3:4" x14ac:dyDescent="0.25">
      <c r="C182" s="1">
        <v>43247</v>
      </c>
      <c r="D182">
        <v>28991</v>
      </c>
    </row>
    <row r="183" spans="3:4" x14ac:dyDescent="0.25">
      <c r="C183" s="1">
        <v>43248</v>
      </c>
      <c r="D183">
        <v>31020</v>
      </c>
    </row>
    <row r="184" spans="3:4" x14ac:dyDescent="0.25">
      <c r="C184" s="1">
        <v>43249</v>
      </c>
      <c r="D184">
        <v>24355</v>
      </c>
    </row>
    <row r="185" spans="3:4" x14ac:dyDescent="0.25">
      <c r="C185" s="1">
        <v>43250</v>
      </c>
      <c r="D185">
        <v>30372</v>
      </c>
    </row>
    <row r="186" spans="3:4" x14ac:dyDescent="0.25">
      <c r="C186" s="1">
        <v>43251</v>
      </c>
      <c r="D186">
        <v>31681</v>
      </c>
    </row>
    <row r="187" spans="3:4" x14ac:dyDescent="0.25">
      <c r="C187" s="1">
        <v>43252</v>
      </c>
      <c r="D187">
        <v>31928</v>
      </c>
    </row>
    <row r="188" spans="3:4" x14ac:dyDescent="0.25">
      <c r="C188" s="1">
        <v>43253</v>
      </c>
      <c r="D188">
        <v>30693</v>
      </c>
    </row>
    <row r="189" spans="3:4" x14ac:dyDescent="0.25">
      <c r="C189" s="1">
        <v>43254</v>
      </c>
      <c r="D189">
        <v>29761</v>
      </c>
    </row>
    <row r="190" spans="3:4" x14ac:dyDescent="0.25">
      <c r="C190" s="1">
        <v>43255</v>
      </c>
      <c r="D190">
        <v>33257</v>
      </c>
    </row>
    <row r="191" spans="3:4" x14ac:dyDescent="0.25">
      <c r="C191" s="1">
        <v>43256</v>
      </c>
      <c r="D191">
        <v>33424</v>
      </c>
    </row>
    <row r="192" spans="3:4" x14ac:dyDescent="0.25">
      <c r="C192" s="1">
        <v>43257</v>
      </c>
      <c r="D192">
        <v>30498</v>
      </c>
    </row>
    <row r="193" spans="3:4" x14ac:dyDescent="0.25">
      <c r="C193" s="1">
        <v>43258</v>
      </c>
      <c r="D193">
        <v>32002</v>
      </c>
    </row>
    <row r="194" spans="3:4" x14ac:dyDescent="0.25">
      <c r="C194" s="1">
        <v>43259</v>
      </c>
      <c r="D194">
        <v>35103</v>
      </c>
    </row>
    <row r="195" spans="3:4" x14ac:dyDescent="0.25">
      <c r="C195" s="1">
        <v>43260</v>
      </c>
      <c r="D195">
        <v>25911</v>
      </c>
    </row>
    <row r="196" spans="3:4" x14ac:dyDescent="0.25">
      <c r="C196" s="1">
        <v>43261</v>
      </c>
      <c r="D196">
        <v>29342</v>
      </c>
    </row>
    <row r="197" spans="3:4" x14ac:dyDescent="0.25">
      <c r="C197" s="1">
        <v>43262</v>
      </c>
      <c r="D197">
        <v>24832</v>
      </c>
    </row>
    <row r="198" spans="3:4" x14ac:dyDescent="0.25">
      <c r="C198" s="1">
        <v>43263</v>
      </c>
      <c r="D198">
        <v>34544</v>
      </c>
    </row>
    <row r="199" spans="3:4" x14ac:dyDescent="0.25">
      <c r="C199" s="1">
        <v>43264</v>
      </c>
      <c r="D199">
        <v>36149</v>
      </c>
    </row>
    <row r="200" spans="3:4" x14ac:dyDescent="0.25">
      <c r="C200" s="1">
        <v>43265</v>
      </c>
      <c r="D200">
        <v>23818</v>
      </c>
    </row>
    <row r="201" spans="3:4" x14ac:dyDescent="0.25">
      <c r="C201" s="1">
        <v>43266</v>
      </c>
      <c r="D201">
        <v>33492</v>
      </c>
    </row>
    <row r="202" spans="3:4" x14ac:dyDescent="0.25">
      <c r="C202" s="1">
        <v>43267</v>
      </c>
      <c r="D202">
        <v>34360</v>
      </c>
    </row>
    <row r="203" spans="3:4" x14ac:dyDescent="0.25">
      <c r="C203" s="1">
        <v>43268</v>
      </c>
      <c r="D203">
        <v>32487</v>
      </c>
    </row>
    <row r="204" spans="3:4" x14ac:dyDescent="0.25">
      <c r="C204" s="1">
        <v>43269</v>
      </c>
      <c r="D204">
        <v>27541</v>
      </c>
    </row>
    <row r="205" spans="3:4" x14ac:dyDescent="0.25">
      <c r="C205" s="1">
        <v>43270</v>
      </c>
      <c r="D205">
        <v>35349</v>
      </c>
    </row>
    <row r="206" spans="3:4" x14ac:dyDescent="0.25">
      <c r="C206" s="1">
        <v>43271</v>
      </c>
      <c r="D206">
        <v>34639</v>
      </c>
    </row>
    <row r="207" spans="3:4" x14ac:dyDescent="0.25">
      <c r="C207" s="1">
        <v>43272</v>
      </c>
      <c r="D207">
        <v>34621</v>
      </c>
    </row>
    <row r="208" spans="3:4" x14ac:dyDescent="0.25">
      <c r="C208" s="1">
        <v>43273</v>
      </c>
      <c r="D208">
        <v>34079</v>
      </c>
    </row>
    <row r="209" spans="3:4" x14ac:dyDescent="0.25">
      <c r="C209" s="1">
        <v>43274</v>
      </c>
      <c r="D209">
        <v>31949</v>
      </c>
    </row>
    <row r="210" spans="3:4" x14ac:dyDescent="0.25">
      <c r="C210" s="1">
        <v>43275</v>
      </c>
      <c r="D210">
        <v>27028</v>
      </c>
    </row>
    <row r="211" spans="3:4" x14ac:dyDescent="0.25">
      <c r="C211" s="1">
        <v>43276</v>
      </c>
      <c r="D211">
        <v>32702</v>
      </c>
    </row>
    <row r="212" spans="3:4" x14ac:dyDescent="0.25">
      <c r="C212" s="1">
        <v>43277</v>
      </c>
      <c r="D212">
        <v>5200</v>
      </c>
    </row>
    <row r="213" spans="3:4" x14ac:dyDescent="0.25">
      <c r="C213" s="1">
        <v>43278</v>
      </c>
      <c r="D213">
        <v>29755</v>
      </c>
    </row>
    <row r="214" spans="3:4" x14ac:dyDescent="0.25">
      <c r="C214" s="1">
        <v>43279</v>
      </c>
      <c r="D214">
        <v>21647</v>
      </c>
    </row>
    <row r="215" spans="3:4" x14ac:dyDescent="0.25">
      <c r="C215" s="1">
        <v>43280</v>
      </c>
      <c r="D215">
        <v>30297</v>
      </c>
    </row>
    <row r="216" spans="3:4" x14ac:dyDescent="0.25">
      <c r="C216" s="1">
        <v>43281</v>
      </c>
      <c r="D216">
        <v>20479</v>
      </c>
    </row>
    <row r="217" spans="3:4" x14ac:dyDescent="0.25">
      <c r="C217" s="1">
        <v>43282</v>
      </c>
      <c r="D217">
        <v>3231</v>
      </c>
    </row>
    <row r="218" spans="3:4" x14ac:dyDescent="0.25">
      <c r="C218" s="1">
        <v>43283</v>
      </c>
      <c r="D218">
        <v>5240</v>
      </c>
    </row>
    <row r="219" spans="3:4" x14ac:dyDescent="0.25">
      <c r="C219" s="1">
        <v>43284</v>
      </c>
      <c r="D219">
        <v>29293</v>
      </c>
    </row>
    <row r="220" spans="3:4" x14ac:dyDescent="0.25">
      <c r="C220" s="1">
        <v>43285</v>
      </c>
      <c r="D220">
        <v>31781</v>
      </c>
    </row>
    <row r="221" spans="3:4" x14ac:dyDescent="0.25">
      <c r="C221" s="1">
        <v>43286</v>
      </c>
      <c r="D221">
        <v>28182</v>
      </c>
    </row>
    <row r="222" spans="3:4" x14ac:dyDescent="0.25">
      <c r="C222" s="1">
        <v>43287</v>
      </c>
      <c r="D222">
        <v>33676</v>
      </c>
    </row>
    <row r="223" spans="3:4" x14ac:dyDescent="0.25">
      <c r="C223" s="1">
        <v>43288</v>
      </c>
      <c r="D223">
        <v>31076</v>
      </c>
    </row>
    <row r="224" spans="3:4" x14ac:dyDescent="0.25">
      <c r="C224" s="1">
        <v>43289</v>
      </c>
      <c r="D224">
        <v>30080</v>
      </c>
    </row>
    <row r="225" spans="3:4" x14ac:dyDescent="0.25">
      <c r="C225" s="1">
        <v>43290</v>
      </c>
      <c r="D225">
        <v>6191</v>
      </c>
    </row>
    <row r="226" spans="3:4" x14ac:dyDescent="0.25">
      <c r="C226" s="1">
        <v>43291</v>
      </c>
      <c r="D226">
        <v>20641</v>
      </c>
    </row>
    <row r="227" spans="3:4" x14ac:dyDescent="0.25">
      <c r="C227" s="1">
        <v>43292</v>
      </c>
      <c r="D227">
        <v>24135</v>
      </c>
    </row>
    <row r="228" spans="3:4" x14ac:dyDescent="0.25">
      <c r="C228" s="1">
        <v>43293</v>
      </c>
      <c r="D228">
        <v>29428</v>
      </c>
    </row>
    <row r="229" spans="3:4" x14ac:dyDescent="0.25">
      <c r="C229" s="1">
        <v>43294</v>
      </c>
      <c r="D229">
        <v>30088</v>
      </c>
    </row>
    <row r="230" spans="3:4" x14ac:dyDescent="0.25">
      <c r="C230" s="1">
        <v>43295</v>
      </c>
      <c r="D230">
        <v>25814</v>
      </c>
    </row>
    <row r="231" spans="3:4" x14ac:dyDescent="0.25">
      <c r="C231" s="1">
        <v>43296</v>
      </c>
      <c r="D231">
        <v>22790</v>
      </c>
    </row>
    <row r="232" spans="3:4" x14ac:dyDescent="0.25">
      <c r="C232" s="1">
        <v>43297</v>
      </c>
      <c r="D232">
        <v>26823</v>
      </c>
    </row>
    <row r="233" spans="3:4" x14ac:dyDescent="0.25">
      <c r="C233" s="1">
        <v>43298</v>
      </c>
      <c r="D233">
        <v>28435</v>
      </c>
    </row>
    <row r="234" spans="3:4" x14ac:dyDescent="0.25">
      <c r="C234" s="1">
        <v>43299</v>
      </c>
      <c r="D234">
        <v>27896</v>
      </c>
    </row>
    <row r="235" spans="3:4" x14ac:dyDescent="0.25">
      <c r="C235" s="1">
        <v>43300</v>
      </c>
      <c r="D235">
        <v>27820</v>
      </c>
    </row>
    <row r="236" spans="3:4" x14ac:dyDescent="0.25">
      <c r="C236" s="1">
        <v>43301</v>
      </c>
      <c r="D236">
        <v>26699</v>
      </c>
    </row>
    <row r="237" spans="3:4" x14ac:dyDescent="0.25">
      <c r="C237" s="1">
        <v>43302</v>
      </c>
      <c r="D237">
        <v>21283</v>
      </c>
    </row>
    <row r="238" spans="3:4" x14ac:dyDescent="0.25">
      <c r="C238" s="1">
        <v>43303</v>
      </c>
      <c r="D238">
        <v>18563</v>
      </c>
    </row>
    <row r="239" spans="3:4" x14ac:dyDescent="0.25">
      <c r="C239" s="1">
        <v>43304</v>
      </c>
      <c r="D239">
        <v>24890</v>
      </c>
    </row>
    <row r="240" spans="3:4" x14ac:dyDescent="0.25">
      <c r="C240" s="1">
        <v>43305</v>
      </c>
      <c r="D240">
        <v>24635</v>
      </c>
    </row>
    <row r="241" spans="3:4" x14ac:dyDescent="0.25">
      <c r="C241" s="1">
        <v>43306</v>
      </c>
      <c r="D241">
        <v>25918</v>
      </c>
    </row>
    <row r="242" spans="3:4" x14ac:dyDescent="0.25">
      <c r="C242" s="1">
        <v>43307</v>
      </c>
      <c r="D242">
        <v>24915</v>
      </c>
    </row>
    <row r="243" spans="3:4" x14ac:dyDescent="0.25">
      <c r="C243" s="1">
        <v>43308</v>
      </c>
      <c r="D243">
        <v>23275</v>
      </c>
    </row>
    <row r="244" spans="3:4" x14ac:dyDescent="0.25">
      <c r="C244" s="1">
        <v>43309</v>
      </c>
      <c r="D244">
        <v>16880</v>
      </c>
    </row>
    <row r="245" spans="3:4" x14ac:dyDescent="0.25">
      <c r="C245" s="1">
        <v>43310</v>
      </c>
      <c r="D245">
        <v>18190</v>
      </c>
    </row>
    <row r="246" spans="3:4" x14ac:dyDescent="0.25">
      <c r="C246" s="1">
        <v>43311</v>
      </c>
      <c r="D246">
        <v>23695</v>
      </c>
    </row>
    <row r="247" spans="3:4" x14ac:dyDescent="0.25">
      <c r="C247" s="1">
        <v>43312</v>
      </c>
      <c r="D247">
        <v>22897</v>
      </c>
    </row>
    <row r="248" spans="3:4" x14ac:dyDescent="0.25">
      <c r="C248" s="1">
        <v>43313</v>
      </c>
      <c r="D248">
        <v>20712</v>
      </c>
    </row>
    <row r="249" spans="3:4" x14ac:dyDescent="0.25">
      <c r="C249" s="1">
        <v>43314</v>
      </c>
      <c r="D249">
        <v>20693</v>
      </c>
    </row>
    <row r="250" spans="3:4" x14ac:dyDescent="0.25">
      <c r="C250" s="1">
        <v>43315</v>
      </c>
      <c r="D250">
        <v>20794</v>
      </c>
    </row>
    <row r="251" spans="3:4" x14ac:dyDescent="0.25">
      <c r="C251" s="1">
        <v>43316</v>
      </c>
      <c r="D251">
        <v>18363</v>
      </c>
    </row>
    <row r="252" spans="3:4" x14ac:dyDescent="0.25">
      <c r="C252" s="1">
        <v>43317</v>
      </c>
      <c r="D252">
        <v>17415</v>
      </c>
    </row>
    <row r="253" spans="3:4" x14ac:dyDescent="0.25">
      <c r="C253" s="1">
        <v>43318</v>
      </c>
      <c r="D253">
        <v>19171</v>
      </c>
    </row>
    <row r="254" spans="3:4" x14ac:dyDescent="0.25">
      <c r="C254" s="1">
        <v>43319</v>
      </c>
      <c r="D254">
        <v>23806</v>
      </c>
    </row>
    <row r="255" spans="3:4" x14ac:dyDescent="0.25">
      <c r="C255" s="1">
        <v>43320</v>
      </c>
      <c r="D255">
        <v>23880</v>
      </c>
    </row>
    <row r="256" spans="3:4" x14ac:dyDescent="0.25">
      <c r="C256" s="1">
        <v>43321</v>
      </c>
      <c r="D256">
        <v>21644</v>
      </c>
    </row>
    <row r="257" spans="3:4" x14ac:dyDescent="0.25">
      <c r="C257" s="1">
        <v>43322</v>
      </c>
      <c r="D257">
        <v>23833</v>
      </c>
    </row>
    <row r="258" spans="3:4" x14ac:dyDescent="0.25">
      <c r="C258" s="1">
        <v>43323</v>
      </c>
      <c r="D258">
        <v>20009</v>
      </c>
    </row>
    <row r="259" spans="3:4" x14ac:dyDescent="0.25">
      <c r="C259" s="1">
        <v>43324</v>
      </c>
      <c r="D259">
        <v>17498</v>
      </c>
    </row>
    <row r="260" spans="3:4" x14ac:dyDescent="0.25">
      <c r="C260" s="1">
        <v>43325</v>
      </c>
      <c r="D260">
        <v>22827</v>
      </c>
    </row>
    <row r="261" spans="3:4" x14ac:dyDescent="0.25">
      <c r="C261" s="1">
        <v>43326</v>
      </c>
      <c r="D261">
        <v>23836</v>
      </c>
    </row>
    <row r="262" spans="3:4" x14ac:dyDescent="0.25">
      <c r="C262" s="1">
        <v>43327</v>
      </c>
      <c r="D262">
        <v>18565</v>
      </c>
    </row>
    <row r="263" spans="3:4" x14ac:dyDescent="0.25">
      <c r="C263" s="1">
        <v>43328</v>
      </c>
      <c r="D263">
        <v>25329</v>
      </c>
    </row>
    <row r="264" spans="3:4" x14ac:dyDescent="0.25">
      <c r="C264" s="1">
        <v>43329</v>
      </c>
      <c r="D264">
        <v>28820</v>
      </c>
    </row>
    <row r="265" spans="3:4" x14ac:dyDescent="0.25">
      <c r="C265" s="1">
        <v>43330</v>
      </c>
      <c r="D265">
        <v>26398</v>
      </c>
    </row>
    <row r="266" spans="3:4" x14ac:dyDescent="0.25">
      <c r="C266" s="1">
        <v>43331</v>
      </c>
      <c r="D266">
        <v>24547</v>
      </c>
    </row>
    <row r="267" spans="3:4" x14ac:dyDescent="0.25">
      <c r="C267" s="1">
        <v>43332</v>
      </c>
      <c r="D267">
        <v>26827</v>
      </c>
    </row>
    <row r="268" spans="3:4" x14ac:dyDescent="0.25">
      <c r="C268" s="1">
        <v>43333</v>
      </c>
      <c r="D268">
        <v>25133</v>
      </c>
    </row>
    <row r="269" spans="3:4" x14ac:dyDescent="0.25">
      <c r="C269" s="1">
        <v>43334</v>
      </c>
      <c r="D269">
        <v>26072</v>
      </c>
    </row>
    <row r="270" spans="3:4" x14ac:dyDescent="0.25">
      <c r="C270" s="1">
        <v>43335</v>
      </c>
      <c r="D270">
        <v>15958</v>
      </c>
    </row>
    <row r="271" spans="3:4" x14ac:dyDescent="0.25">
      <c r="C271" s="1">
        <v>43336</v>
      </c>
      <c r="D271">
        <v>11658</v>
      </c>
    </row>
    <row r="272" spans="3:4" x14ac:dyDescent="0.25">
      <c r="C272" s="1">
        <v>43337</v>
      </c>
      <c r="D272">
        <v>27302</v>
      </c>
    </row>
    <row r="273" spans="3:4" x14ac:dyDescent="0.25">
      <c r="C273" s="1">
        <v>43338</v>
      </c>
      <c r="D273">
        <v>19310</v>
      </c>
    </row>
    <row r="274" spans="3:4" x14ac:dyDescent="0.25">
      <c r="C274" s="1">
        <v>43339</v>
      </c>
      <c r="D274">
        <v>14435</v>
      </c>
    </row>
    <row r="275" spans="3:4" x14ac:dyDescent="0.25">
      <c r="C275" s="1">
        <v>43340</v>
      </c>
      <c r="D275">
        <v>9092</v>
      </c>
    </row>
    <row r="276" spans="3:4" x14ac:dyDescent="0.25">
      <c r="C276" s="1">
        <v>43341</v>
      </c>
      <c r="D276">
        <v>9184</v>
      </c>
    </row>
    <row r="277" spans="3:4" x14ac:dyDescent="0.25">
      <c r="C277" s="1">
        <v>43342</v>
      </c>
      <c r="D277">
        <v>20959</v>
      </c>
    </row>
    <row r="278" spans="3:4" x14ac:dyDescent="0.25">
      <c r="C278" s="1">
        <v>43343</v>
      </c>
      <c r="D278">
        <v>27817</v>
      </c>
    </row>
    <row r="279" spans="3:4" x14ac:dyDescent="0.25">
      <c r="C279" s="1">
        <v>43344</v>
      </c>
      <c r="D279">
        <v>26010</v>
      </c>
    </row>
    <row r="280" spans="3:4" x14ac:dyDescent="0.25">
      <c r="C280" s="1">
        <v>43345</v>
      </c>
      <c r="D280">
        <v>26881</v>
      </c>
    </row>
    <row r="281" spans="3:4" x14ac:dyDescent="0.25">
      <c r="C281" s="1">
        <v>43346</v>
      </c>
      <c r="D281">
        <v>10802</v>
      </c>
    </row>
    <row r="282" spans="3:4" x14ac:dyDescent="0.25">
      <c r="C282" s="1">
        <v>43347</v>
      </c>
      <c r="D282">
        <v>29529</v>
      </c>
    </row>
    <row r="283" spans="3:4" x14ac:dyDescent="0.25">
      <c r="C283" s="1">
        <v>43348</v>
      </c>
      <c r="D283">
        <v>31114</v>
      </c>
    </row>
    <row r="284" spans="3:4" x14ac:dyDescent="0.25">
      <c r="C284" s="1">
        <v>43349</v>
      </c>
      <c r="D284">
        <v>27838</v>
      </c>
    </row>
    <row r="285" spans="3:4" x14ac:dyDescent="0.25">
      <c r="C285" s="1">
        <v>43350</v>
      </c>
      <c r="D285">
        <v>30381</v>
      </c>
    </row>
    <row r="286" spans="3:4" x14ac:dyDescent="0.25">
      <c r="C286" s="1">
        <v>43351</v>
      </c>
      <c r="D286">
        <v>29813</v>
      </c>
    </row>
    <row r="287" spans="3:4" x14ac:dyDescent="0.25">
      <c r="C287" s="1">
        <v>43352</v>
      </c>
      <c r="D287">
        <v>28354</v>
      </c>
    </row>
    <row r="288" spans="3:4" x14ac:dyDescent="0.25">
      <c r="C288" s="1">
        <v>43353</v>
      </c>
      <c r="D288">
        <v>30781</v>
      </c>
    </row>
    <row r="289" spans="3:4" x14ac:dyDescent="0.25">
      <c r="C289" s="1">
        <v>43354</v>
      </c>
      <c r="D289">
        <v>31694</v>
      </c>
    </row>
    <row r="290" spans="3:4" x14ac:dyDescent="0.25">
      <c r="C290" s="1">
        <v>43355</v>
      </c>
      <c r="D290">
        <v>31809</v>
      </c>
    </row>
    <row r="291" spans="3:4" x14ac:dyDescent="0.25">
      <c r="C291" s="1">
        <v>43356</v>
      </c>
      <c r="D291">
        <v>30991</v>
      </c>
    </row>
    <row r="292" spans="3:4" x14ac:dyDescent="0.25">
      <c r="C292" s="1">
        <v>43357</v>
      </c>
      <c r="D292">
        <v>28199</v>
      </c>
    </row>
    <row r="293" spans="3:4" x14ac:dyDescent="0.25">
      <c r="C293" s="1">
        <v>43358</v>
      </c>
      <c r="D293">
        <v>25079</v>
      </c>
    </row>
    <row r="294" spans="3:4" x14ac:dyDescent="0.25">
      <c r="C294" s="1">
        <v>43359</v>
      </c>
      <c r="D294">
        <v>14178</v>
      </c>
    </row>
    <row r="295" spans="3:4" x14ac:dyDescent="0.25">
      <c r="C295" s="1">
        <v>43360</v>
      </c>
      <c r="D295">
        <v>30290</v>
      </c>
    </row>
    <row r="296" spans="3:4" x14ac:dyDescent="0.25">
      <c r="C296" s="1">
        <v>43361</v>
      </c>
    </row>
    <row r="297" spans="3:4" x14ac:dyDescent="0.25">
      <c r="C297" s="1">
        <v>43362</v>
      </c>
    </row>
    <row r="298" spans="3:4" x14ac:dyDescent="0.25">
      <c r="C298" s="1">
        <v>43363</v>
      </c>
      <c r="D298">
        <v>14282</v>
      </c>
    </row>
    <row r="299" spans="3:4" x14ac:dyDescent="0.25">
      <c r="C299" s="1">
        <v>43364</v>
      </c>
      <c r="D299">
        <v>18266</v>
      </c>
    </row>
    <row r="300" spans="3:4" x14ac:dyDescent="0.25">
      <c r="C300" s="1">
        <v>43365</v>
      </c>
      <c r="D300">
        <v>26398</v>
      </c>
    </row>
    <row r="301" spans="3:4" x14ac:dyDescent="0.25">
      <c r="C301" s="1">
        <v>43366</v>
      </c>
      <c r="D301">
        <v>20060</v>
      </c>
    </row>
    <row r="302" spans="3:4" x14ac:dyDescent="0.25">
      <c r="C302" s="1">
        <v>43367</v>
      </c>
      <c r="D302">
        <v>17259</v>
      </c>
    </row>
    <row r="303" spans="3:4" x14ac:dyDescent="0.25">
      <c r="C303" s="1">
        <v>43368</v>
      </c>
      <c r="D303">
        <v>23350</v>
      </c>
    </row>
    <row r="304" spans="3:4" x14ac:dyDescent="0.25">
      <c r="C304" s="1">
        <v>43369</v>
      </c>
      <c r="D304">
        <v>28018</v>
      </c>
    </row>
    <row r="305" spans="3:4" x14ac:dyDescent="0.25">
      <c r="C305" s="1">
        <v>43370</v>
      </c>
      <c r="D305">
        <v>30789</v>
      </c>
    </row>
    <row r="306" spans="3:4" x14ac:dyDescent="0.25">
      <c r="C306" s="1">
        <v>43371</v>
      </c>
    </row>
    <row r="307" spans="3:4" x14ac:dyDescent="0.25">
      <c r="C307" s="1">
        <v>43372</v>
      </c>
      <c r="D307">
        <v>31447</v>
      </c>
    </row>
    <row r="308" spans="3:4" x14ac:dyDescent="0.25">
      <c r="C308" s="1">
        <v>43373</v>
      </c>
    </row>
    <row r="309" spans="3:4" x14ac:dyDescent="0.25">
      <c r="C309" s="1">
        <v>43374</v>
      </c>
      <c r="D309">
        <v>27909</v>
      </c>
    </row>
    <row r="310" spans="3:4" x14ac:dyDescent="0.25">
      <c r="C310" s="1">
        <v>43375</v>
      </c>
    </row>
    <row r="311" spans="3:4" x14ac:dyDescent="0.25">
      <c r="C311" s="1">
        <v>43376</v>
      </c>
      <c r="D311">
        <v>30349</v>
      </c>
    </row>
    <row r="312" spans="3:4" x14ac:dyDescent="0.25">
      <c r="C312" s="1">
        <v>43377</v>
      </c>
    </row>
    <row r="313" spans="3:4" x14ac:dyDescent="0.25">
      <c r="C313" s="1">
        <v>43378</v>
      </c>
      <c r="D313">
        <v>4522</v>
      </c>
    </row>
    <row r="314" spans="3:4" x14ac:dyDescent="0.25">
      <c r="C314" s="1">
        <v>43379</v>
      </c>
      <c r="D314">
        <v>16037</v>
      </c>
    </row>
    <row r="315" spans="3:4" x14ac:dyDescent="0.25">
      <c r="C315" s="1">
        <v>43380</v>
      </c>
      <c r="D315">
        <v>27614</v>
      </c>
    </row>
    <row r="316" spans="3:4" x14ac:dyDescent="0.25">
      <c r="C316" s="1">
        <v>43381</v>
      </c>
      <c r="D316">
        <v>29362</v>
      </c>
    </row>
    <row r="317" spans="3:4" x14ac:dyDescent="0.25">
      <c r="C317" s="1">
        <v>43382</v>
      </c>
    </row>
    <row r="318" spans="3:4" x14ac:dyDescent="0.25">
      <c r="C318" s="1">
        <v>43383</v>
      </c>
      <c r="D318">
        <v>24410</v>
      </c>
    </row>
    <row r="319" spans="3:4" x14ac:dyDescent="0.25">
      <c r="C319" s="1">
        <v>43384</v>
      </c>
      <c r="D319">
        <v>24526</v>
      </c>
    </row>
    <row r="320" spans="3:4" x14ac:dyDescent="0.25">
      <c r="C320" s="1">
        <v>43385</v>
      </c>
      <c r="D320">
        <v>26237</v>
      </c>
    </row>
    <row r="321" spans="3:4" x14ac:dyDescent="0.25">
      <c r="C321" s="1">
        <v>43386</v>
      </c>
      <c r="D321">
        <v>25542</v>
      </c>
    </row>
    <row r="322" spans="3:4" x14ac:dyDescent="0.25">
      <c r="C322" s="1">
        <v>43387</v>
      </c>
      <c r="D322">
        <v>24349</v>
      </c>
    </row>
    <row r="323" spans="3:4" x14ac:dyDescent="0.25">
      <c r="C323" s="1">
        <v>43388</v>
      </c>
      <c r="D323">
        <v>26198</v>
      </c>
    </row>
    <row r="324" spans="3:4" x14ac:dyDescent="0.25">
      <c r="C324" s="1">
        <v>43389</v>
      </c>
      <c r="D324">
        <v>26956</v>
      </c>
    </row>
    <row r="325" spans="3:4" x14ac:dyDescent="0.25">
      <c r="C325" s="1">
        <v>43390</v>
      </c>
      <c r="D325">
        <v>26502</v>
      </c>
    </row>
    <row r="326" spans="3:4" x14ac:dyDescent="0.25">
      <c r="C326" s="1">
        <v>43391</v>
      </c>
      <c r="D326">
        <v>26504</v>
      </c>
    </row>
    <row r="327" spans="3:4" x14ac:dyDescent="0.25">
      <c r="C327" s="1">
        <v>43392</v>
      </c>
      <c r="D327">
        <v>27437</v>
      </c>
    </row>
    <row r="328" spans="3:4" x14ac:dyDescent="0.25">
      <c r="C328" s="1">
        <v>43393</v>
      </c>
      <c r="D328">
        <v>25355</v>
      </c>
    </row>
    <row r="329" spans="3:4" x14ac:dyDescent="0.25">
      <c r="C329" s="1">
        <v>43394</v>
      </c>
      <c r="D329">
        <v>23906</v>
      </c>
    </row>
    <row r="330" spans="3:4" x14ac:dyDescent="0.25">
      <c r="C330" s="1">
        <v>43395</v>
      </c>
      <c r="D330">
        <v>26075</v>
      </c>
    </row>
    <row r="331" spans="3:4" x14ac:dyDescent="0.25">
      <c r="C331" s="1">
        <v>43396</v>
      </c>
      <c r="D331">
        <v>21601</v>
      </c>
    </row>
    <row r="332" spans="3:4" x14ac:dyDescent="0.25">
      <c r="C332" s="1">
        <v>43397</v>
      </c>
      <c r="D332">
        <v>26418</v>
      </c>
    </row>
    <row r="333" spans="3:4" x14ac:dyDescent="0.25">
      <c r="C333" s="1">
        <v>43398</v>
      </c>
      <c r="D333">
        <v>27258</v>
      </c>
    </row>
    <row r="334" spans="3:4" x14ac:dyDescent="0.25">
      <c r="C334" s="1">
        <v>43399</v>
      </c>
      <c r="D334">
        <v>13377</v>
      </c>
    </row>
    <row r="335" spans="3:4" x14ac:dyDescent="0.25">
      <c r="C335" s="1">
        <v>43400</v>
      </c>
      <c r="D335">
        <v>18398</v>
      </c>
    </row>
    <row r="336" spans="3:4" x14ac:dyDescent="0.25">
      <c r="C336" s="1">
        <v>43401</v>
      </c>
      <c r="D336">
        <v>11589</v>
      </c>
    </row>
    <row r="337" spans="3:4" x14ac:dyDescent="0.25">
      <c r="C337" s="1">
        <v>43402</v>
      </c>
      <c r="D337">
        <v>19877</v>
      </c>
    </row>
    <row r="338" spans="3:4" x14ac:dyDescent="0.25">
      <c r="C338" s="1">
        <v>43403</v>
      </c>
      <c r="D338">
        <v>20822</v>
      </c>
    </row>
    <row r="339" spans="3:4" x14ac:dyDescent="0.25">
      <c r="C339" s="1">
        <v>43404</v>
      </c>
      <c r="D339">
        <v>21545</v>
      </c>
    </row>
    <row r="340" spans="3:4" x14ac:dyDescent="0.25">
      <c r="C340" s="1">
        <v>43405</v>
      </c>
      <c r="D340">
        <v>22964</v>
      </c>
    </row>
    <row r="341" spans="3:4" x14ac:dyDescent="0.25">
      <c r="C341" s="1">
        <v>43406</v>
      </c>
      <c r="D341">
        <v>24077</v>
      </c>
    </row>
    <row r="342" spans="3:4" x14ac:dyDescent="0.25">
      <c r="C342" s="1">
        <v>43407</v>
      </c>
    </row>
    <row r="343" spans="3:4" x14ac:dyDescent="0.25">
      <c r="C343" s="1">
        <v>43408</v>
      </c>
      <c r="D343">
        <v>20471</v>
      </c>
    </row>
    <row r="344" spans="3:4" x14ac:dyDescent="0.25">
      <c r="C344" s="1">
        <v>43409</v>
      </c>
      <c r="D344">
        <v>23472</v>
      </c>
    </row>
    <row r="345" spans="3:4" x14ac:dyDescent="0.25">
      <c r="C345" s="1">
        <v>43410</v>
      </c>
    </row>
    <row r="346" spans="3:4" x14ac:dyDescent="0.25">
      <c r="C346" s="1">
        <v>43411</v>
      </c>
      <c r="D346">
        <v>16525</v>
      </c>
    </row>
    <row r="347" spans="3:4" x14ac:dyDescent="0.25">
      <c r="C347" s="1">
        <v>43412</v>
      </c>
      <c r="D347">
        <v>1721</v>
      </c>
    </row>
    <row r="348" spans="3:4" x14ac:dyDescent="0.25">
      <c r="C348" s="1">
        <v>43413</v>
      </c>
    </row>
    <row r="349" spans="3:4" x14ac:dyDescent="0.25">
      <c r="C349" s="1">
        <v>43414</v>
      </c>
      <c r="D349">
        <v>18473</v>
      </c>
    </row>
    <row r="350" spans="3:4" x14ac:dyDescent="0.25">
      <c r="C350" s="1">
        <v>43415</v>
      </c>
      <c r="D350">
        <v>13138</v>
      </c>
    </row>
    <row r="351" spans="3:4" x14ac:dyDescent="0.25">
      <c r="C351" s="1">
        <v>43416</v>
      </c>
      <c r="D351">
        <v>21003</v>
      </c>
    </row>
    <row r="352" spans="3:4" x14ac:dyDescent="0.25">
      <c r="C352" s="1">
        <v>43417</v>
      </c>
      <c r="D352">
        <v>21992</v>
      </c>
    </row>
    <row r="353" spans="3:4" x14ac:dyDescent="0.25">
      <c r="C353" s="1">
        <v>43418</v>
      </c>
      <c r="D353">
        <v>22707</v>
      </c>
    </row>
    <row r="354" spans="3:4" x14ac:dyDescent="0.25">
      <c r="C354" s="1">
        <v>43419</v>
      </c>
      <c r="D354">
        <v>21502</v>
      </c>
    </row>
    <row r="355" spans="3:4" x14ac:dyDescent="0.25">
      <c r="C355" s="1">
        <v>43420</v>
      </c>
      <c r="D355">
        <v>20660</v>
      </c>
    </row>
    <row r="356" spans="3:4" x14ac:dyDescent="0.25">
      <c r="C356" s="1">
        <v>43421</v>
      </c>
      <c r="D356">
        <v>15689</v>
      </c>
    </row>
    <row r="357" spans="3:4" x14ac:dyDescent="0.25">
      <c r="C357" s="1">
        <v>43422</v>
      </c>
      <c r="D357">
        <v>14319</v>
      </c>
    </row>
    <row r="358" spans="3:4" x14ac:dyDescent="0.25">
      <c r="C358" s="1">
        <v>43423</v>
      </c>
      <c r="D358">
        <v>18956</v>
      </c>
    </row>
    <row r="359" spans="3:4" x14ac:dyDescent="0.25">
      <c r="C359" s="1">
        <v>43424</v>
      </c>
      <c r="D359">
        <v>19127</v>
      </c>
    </row>
    <row r="360" spans="3:4" x14ac:dyDescent="0.25">
      <c r="C360" s="1">
        <v>43425</v>
      </c>
      <c r="D360">
        <v>15732</v>
      </c>
    </row>
    <row r="361" spans="3:4" x14ac:dyDescent="0.25">
      <c r="C361" s="1">
        <v>43426</v>
      </c>
      <c r="D361">
        <v>16496</v>
      </c>
    </row>
    <row r="362" spans="3:4" x14ac:dyDescent="0.25">
      <c r="C362" s="1">
        <v>43427</v>
      </c>
      <c r="D362">
        <v>16314</v>
      </c>
    </row>
    <row r="363" spans="3:4" x14ac:dyDescent="0.25">
      <c r="C363" s="1">
        <v>43428</v>
      </c>
      <c r="D363">
        <v>6477</v>
      </c>
    </row>
    <row r="364" spans="3:4" x14ac:dyDescent="0.25">
      <c r="C364" s="1">
        <v>43429</v>
      </c>
      <c r="D364">
        <v>11212</v>
      </c>
    </row>
    <row r="365" spans="3:4" x14ac:dyDescent="0.25">
      <c r="C365" s="1">
        <v>43430</v>
      </c>
      <c r="D365">
        <v>17162</v>
      </c>
    </row>
    <row r="366" spans="3:4" x14ac:dyDescent="0.25">
      <c r="C366" s="1">
        <v>43431</v>
      </c>
      <c r="D366">
        <v>16282</v>
      </c>
    </row>
    <row r="367" spans="3:4" x14ac:dyDescent="0.25">
      <c r="C367" s="1">
        <v>43432</v>
      </c>
      <c r="D367">
        <v>16524</v>
      </c>
    </row>
    <row r="368" spans="3:4" x14ac:dyDescent="0.25">
      <c r="C368" s="1">
        <v>43433</v>
      </c>
      <c r="D368">
        <v>16423</v>
      </c>
    </row>
    <row r="369" spans="3:4" x14ac:dyDescent="0.25">
      <c r="C369" s="1">
        <v>43434</v>
      </c>
      <c r="D369">
        <v>16297</v>
      </c>
    </row>
    <row r="370" spans="3:4" x14ac:dyDescent="0.25">
      <c r="C370" s="1" t="s">
        <v>23</v>
      </c>
      <c r="D370">
        <v>6172314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data1</vt:lpstr>
      <vt:lpstr>data2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michal kosnik</cp:lastModifiedBy>
  <dcterms:created xsi:type="dcterms:W3CDTF">2022-07-19T08:25:28Z</dcterms:created>
  <dcterms:modified xsi:type="dcterms:W3CDTF">2023-01-24T09:12:49Z</dcterms:modified>
</cp:coreProperties>
</file>